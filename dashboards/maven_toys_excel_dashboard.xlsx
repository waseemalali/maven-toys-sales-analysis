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ids\OneDrive\Documents\"/>
    </mc:Choice>
  </mc:AlternateContent>
  <xr:revisionPtr revIDLastSave="0" documentId="8_{44478058-CD24-42C5-9819-17B897379E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Dashboard" sheetId="1" r:id="rId1"/>
    <sheet name="Sales Analysis" sheetId="2" r:id="rId2"/>
    <sheet name="Profitability" sheetId="3" r:id="rId3"/>
    <sheet name="Stores &amp; Inventory" sheetId="4" r:id="rId4"/>
    <sheet name="Marketing Insights" sheetId="5" r:id="rId5"/>
    <sheet name="Data Tables" sheetId="6" r:id="rId6"/>
  </sheets>
  <calcPr calcId="0"/>
</workbook>
</file>

<file path=xl/sharedStrings.xml><?xml version="1.0" encoding="utf-8"?>
<sst xmlns="http://schemas.openxmlformats.org/spreadsheetml/2006/main" count="677" uniqueCount="225">
  <si>
    <t>Sales &amp; Marketing BI Dashboard</t>
  </si>
  <si>
    <t>Analysis Period: 2022-01-01 to 2023-09-30 | Focus: Revenue, Profitability, Stores, Inventory, and Marketing Priorities</t>
  </si>
  <si>
    <t>Total Revenue</t>
  </si>
  <si>
    <t>Total Profit</t>
  </si>
  <si>
    <t>Profit Margin</t>
  </si>
  <si>
    <t>Units Sold</t>
  </si>
  <si>
    <t>Transactions</t>
  </si>
  <si>
    <t>Average Order Value</t>
  </si>
  <si>
    <t>Category</t>
  </si>
  <si>
    <t>Revenue</t>
  </si>
  <si>
    <t>Profit</t>
  </si>
  <si>
    <t>Toys</t>
  </si>
  <si>
    <t>Art &amp; Crafts</t>
  </si>
  <si>
    <t>Key Finding</t>
  </si>
  <si>
    <t>Insight</t>
  </si>
  <si>
    <t>Business Action</t>
  </si>
  <si>
    <t>Electronics</t>
  </si>
  <si>
    <t>Revenue Leader</t>
  </si>
  <si>
    <t>Toys drives the largest revenue volume</t>
  </si>
  <si>
    <t>Use Toys as traffic driver</t>
  </si>
  <si>
    <t>Games</t>
  </si>
  <si>
    <t>Profit Leader</t>
  </si>
  <si>
    <t>Electronics has the highest margin</t>
  </si>
  <si>
    <t>Increase Electronics mix</t>
  </si>
  <si>
    <t>Sports &amp; Outdoors</t>
  </si>
  <si>
    <t>Best Store Type</t>
  </si>
  <si>
    <t>Airport leads revenue per store</t>
  </si>
  <si>
    <t>Investigate and replicate best practices</t>
  </si>
  <si>
    <t>Peak Days</t>
  </si>
  <si>
    <t>Friday and Saturday generate the strongest sales</t>
  </si>
  <si>
    <t>Concentrate campaigns Thu-Sat</t>
  </si>
  <si>
    <t>Profit Risk</t>
  </si>
  <si>
    <t>Profit growth lags revenue growth</t>
  </si>
  <si>
    <t>Shift KPIs from revenue to profit</t>
  </si>
  <si>
    <t>Location</t>
  </si>
  <si>
    <t>Revenue/Store</t>
  </si>
  <si>
    <t>Profit/Store</t>
  </si>
  <si>
    <t>Inventory</t>
  </si>
  <si>
    <t>Stock has weak correlation with sales</t>
  </si>
  <si>
    <t>Optimize stock by demand and margin</t>
  </si>
  <si>
    <t>Airport</t>
  </si>
  <si>
    <t>Downtown</t>
  </si>
  <si>
    <t>Residential</t>
  </si>
  <si>
    <t>Commercial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</si>
  <si>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</si>
  <si>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</si>
  <si>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</si>
  <si>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</si>
  <si>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</si>
  <si>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</si>
  <si>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</si>
  <si>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</si>
  <si>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Sales Performance Dashboard</t>
  </si>
  <si>
    <t>Month</t>
  </si>
  <si>
    <t>Margin %</t>
  </si>
  <si>
    <t>Units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</si>
  <si>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</si>
  <si>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</si>
  <si>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</si>
  <si>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</si>
  <si>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</si>
  <si>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</si>
  <si>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</si>
  <si>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</si>
  <si>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</si>
  <si>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</si>
  <si>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</si>
  <si>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</si>
  <si>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</si>
  <si>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</si>
  <si>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</si>
  <si>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</si>
  <si>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</si>
  <si>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</si>
  <si>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</si>
  <si>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</si>
  <si>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</si>
  <si>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Profitability Dashboard</t>
  </si>
  <si>
    <t>Product</t>
  </si>
  <si>
    <t>Colorbuds</t>
  </si>
  <si>
    <t>Action Figure</t>
  </si>
  <si>
    <t>Lego Bricks</t>
  </si>
  <si>
    <t>Deck Of Cards</t>
  </si>
  <si>
    <t>Glass Marbles</t>
  </si>
  <si>
    <t>Barrel O' Slime</t>
  </si>
  <si>
    <t>Kids Makeup Kit</t>
  </si>
  <si>
    <t>Nerf Gun</t>
  </si>
  <si>
    <t>Relationship</t>
  </si>
  <si>
    <t>r</t>
  </si>
  <si>
    <t>Interpretation</t>
  </si>
  <si>
    <t>Dart Gun</t>
  </si>
  <si>
    <t>Product Price vs Revenue</t>
  </si>
  <si>
    <t>High but partly mechanical because Revenue = Price × Units</t>
  </si>
  <si>
    <t>Etch A Sketch</t>
  </si>
  <si>
    <t>Units Sold vs Revenue</t>
  </si>
  <si>
    <t>Volume is a strong revenue driver</t>
  </si>
  <si>
    <t>Unit Margin vs Profit</t>
  </si>
  <si>
    <t>High profit driver</t>
  </si>
  <si>
    <t>Units Sold vs Profit</t>
  </si>
  <si>
    <t>Volume supports profit</t>
  </si>
  <si>
    <t>Margin % vs Profit</t>
  </si>
  <si>
    <t>Moderate profitability signal</t>
  </si>
  <si>
    <t>Inventory Stock vs Units Sold</t>
  </si>
  <si>
    <t>Weak relationship: stock alone does not create demand</t>
  </si>
  <si>
    <t>Store Age vs Revenue</t>
  </si>
  <si>
    <t>Minimal relationship</t>
  </si>
  <si>
    <t>Store &amp; Inventory Dashboard</t>
  </si>
  <si>
    <t>Top Store</t>
  </si>
  <si>
    <t>City</t>
  </si>
  <si>
    <t>AOV</t>
  </si>
  <si>
    <t>Bottom Store</t>
  </si>
  <si>
    <t>Maven Toys Ciudad de Mexico 2</t>
  </si>
  <si>
    <t>Cuidad de Mexico</t>
  </si>
  <si>
    <t>Maven Toys Cuernavaca 1</t>
  </si>
  <si>
    <t>Cuernavaca</t>
  </si>
  <si>
    <t>Maven Toys Guadalajara 3</t>
  </si>
  <si>
    <t>Guadalajara</t>
  </si>
  <si>
    <t>Maven Toys La Paz 1</t>
  </si>
  <si>
    <t>La Paz</t>
  </si>
  <si>
    <t>Maven Toys Ciudad de Mexico 1</t>
  </si>
  <si>
    <t>Maven Toys Toluca 2</t>
  </si>
  <si>
    <t>Toluca</t>
  </si>
  <si>
    <t>Maven Toys Monterrey 2</t>
  </si>
  <si>
    <t>Monterrey</t>
  </si>
  <si>
    <t>Maven Toys Campeche 2</t>
  </si>
  <si>
    <t>Campeche</t>
  </si>
  <si>
    <t>Maven Toys Toluca 1</t>
  </si>
  <si>
    <t>Maven Toys Zacatecas 1</t>
  </si>
  <si>
    <t>Zacatecas</t>
  </si>
  <si>
    <t>Maven Toys Guadalajara 4</t>
  </si>
  <si>
    <t>Maven Toys Oaxaca 1</t>
  </si>
  <si>
    <t>Oaxaca</t>
  </si>
  <si>
    <t>Maven Toys Hermosillo 3</t>
  </si>
  <si>
    <t>Hermosillo</t>
  </si>
  <si>
    <t>Maven Toys Durango 1</t>
  </si>
  <si>
    <t>Durango</t>
  </si>
  <si>
    <t>Maven Toys Mexicali 1</t>
  </si>
  <si>
    <t>Mexicali</t>
  </si>
  <si>
    <t>Maven Toys Culiacan 1</t>
  </si>
  <si>
    <t>Culiacan</t>
  </si>
  <si>
    <t>Maven Toys Saltillo 1</t>
  </si>
  <si>
    <t>Saltillo</t>
  </si>
  <si>
    <t>Maven Toys Pachuca 1</t>
  </si>
  <si>
    <t>Pachuca</t>
  </si>
  <si>
    <t>Maven Toys Ciudad de Mexico 3</t>
  </si>
  <si>
    <t>Maven Toys Merida 1</t>
  </si>
  <si>
    <t>Merida</t>
  </si>
  <si>
    <t>Stock</t>
  </si>
  <si>
    <t>Stock Months Cover</t>
  </si>
  <si>
    <t>Stock Value Cost</t>
  </si>
  <si>
    <t>PlayDoh Can</t>
  </si>
  <si>
    <t>Rubik's Cube</t>
  </si>
  <si>
    <t>Magic Sand</t>
  </si>
  <si>
    <t>Dinosaur Figures</t>
  </si>
  <si>
    <t>Splash Balls</t>
  </si>
  <si>
    <t>Toy Robot</t>
  </si>
  <si>
    <t>PlayDoh Playset</t>
  </si>
  <si>
    <t>Gamer Headphones</t>
  </si>
  <si>
    <t>Animal Figures</t>
  </si>
  <si>
    <t>Marketing Insights &amp; Action Plan</t>
  </si>
  <si>
    <t>Rank</t>
  </si>
  <si>
    <t>Cumulative Profit %</t>
  </si>
  <si>
    <t>Cumulative Revenue %</t>
  </si>
  <si>
    <t>Priority</t>
  </si>
  <si>
    <t>Focus Area</t>
  </si>
  <si>
    <t>Action</t>
  </si>
  <si>
    <t>1</t>
  </si>
  <si>
    <t>Colorbuds &amp; Electronics</t>
  </si>
  <si>
    <t>Increase campaign budget and store placement</t>
  </si>
  <si>
    <t>2</t>
  </si>
  <si>
    <t>Airport stores</t>
  </si>
  <si>
    <t>Investigate why revenue/store is highest</t>
  </si>
  <si>
    <t>3</t>
  </si>
  <si>
    <t>Downtown top stores</t>
  </si>
  <si>
    <t>Scale loyalty and bundle campaigns</t>
  </si>
  <si>
    <t>4</t>
  </si>
  <si>
    <t>Friday/Saturday</t>
  </si>
  <si>
    <t>Shift promotions to peak demand days</t>
  </si>
  <si>
    <t>5</t>
  </si>
  <si>
    <t>Use as traffic driver, not profit-only focus</t>
  </si>
  <si>
    <t>6</t>
  </si>
  <si>
    <t>Low-margin stores</t>
  </si>
  <si>
    <t>Audit product mix and discounting</t>
  </si>
  <si>
    <t>Budget Allocation</t>
  </si>
  <si>
    <t>Share</t>
  </si>
  <si>
    <t>Purpose</t>
  </si>
  <si>
    <t>High-margin products</t>
  </si>
  <si>
    <t>Profit growth</t>
  </si>
  <si>
    <t>High-volume products</t>
  </si>
  <si>
    <t>Customer acquisition</t>
  </si>
  <si>
    <t>Testing products</t>
  </si>
  <si>
    <t>Experimentation</t>
  </si>
  <si>
    <t>Total</t>
  </si>
  <si>
    <t>Mini Ping Pong Set</t>
  </si>
  <si>
    <t>Jenga</t>
  </si>
  <si>
    <t>Plush Pony</t>
  </si>
  <si>
    <t>Hot Wheels 5-Pack</t>
  </si>
  <si>
    <t>Mr. Potatohead</t>
  </si>
  <si>
    <t>Mini Basketball Hoop</t>
  </si>
  <si>
    <t>Dino Egg</t>
  </si>
  <si>
    <t>Playfoam</t>
  </si>
  <si>
    <t>PlayDoh Toolkit</t>
  </si>
  <si>
    <t>Foam Disk Launcher</t>
  </si>
  <si>
    <t>Supersoaker Water Gun</t>
  </si>
  <si>
    <t>Monopoly</t>
  </si>
  <si>
    <t>Teddy Bear</t>
  </si>
  <si>
    <t>Chutes &amp; Ladders</t>
  </si>
  <si>
    <t>Uno Card Game</t>
  </si>
  <si>
    <t>Classic Dominoes</t>
  </si>
  <si>
    <t>Category Performance</t>
  </si>
  <si>
    <t>Location Performance</t>
  </si>
  <si>
    <t>Stores</t>
  </si>
  <si>
    <t>Monthly Performance</t>
  </si>
  <si>
    <t>Day of Week Performance</t>
  </si>
  <si>
    <t>Top Products by Profit</t>
  </si>
  <si>
    <t>Top Stores by Profit</t>
  </si>
  <si>
    <t>Store</t>
  </si>
  <si>
    <t>Bottom Stores by Profit</t>
  </si>
  <si>
    <t>Pareto Products by Profit</t>
  </si>
  <si>
    <t>Correlation Analysis</t>
  </si>
  <si>
    <t>Jan-Sep Growth Analysis</t>
  </si>
  <si>
    <t>KPI</t>
  </si>
  <si>
    <t>2022 Jan-Sep</t>
  </si>
  <si>
    <t>2023 Jan-Sep</t>
  </si>
  <si>
    <t>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</si>
</sst>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.0"/>
  </numFmts>
  <fonts count="5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0B1F33"/>
      <name val="Carlito"/>
    </font>
    <font>
      <b/>
      <sz val="1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EAF3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4" fontId="1" fillId="2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5" fontId="1" fillId="2" borderId="0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Fill="1" applyBorder="1"/>
    <xf numFmtId="3" fontId="1" fillId="2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horizontal="center" vertical="center"/>
    </xf>
    <xf numFmtId="164" fontId="4" fillId="5" borderId="0" xfId="0" applyNumberFormat="1" applyFont="1" applyFill="1" applyBorder="1" applyAlignment="1">
      <alignment horizontal="center"/>
    </xf>
    <xf numFmtId="165" fontId="4" fillId="5" borderId="0" xfId="0" applyNumberFormat="1" applyFont="1" applyFill="1" applyBorder="1" applyAlignment="1">
      <alignment horizontal="center"/>
    </xf>
    <xf numFmtId="3" fontId="4" fillId="5" borderId="0" xfId="0" applyNumberFormat="1" applyFont="1" applyFill="1" applyBorder="1" applyAlignment="1">
      <alignment horizontal="center"/>
    </xf>
    <xf numFmtId="166" fontId="4" fillId="5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/>
    <xf numFmtId="166" fontId="0" fillId="0" borderId="0" xfId="0" applyNumberFormat="1" applyFont="1" applyFill="1" applyBorder="1"/>
    <xf numFmtId="167" fontId="0" fillId="0" borderId="0" xfId="0" applyNumberFormat="1" applyFont="1" applyFill="1" applyBorder="1"/>
    <xf numFmtId="9" fontId="0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center"/>
    </xf>
    <xf numFmtId="0" fontId="0" fillId="0" borderId="0" xfId="0"/>
    <xf numFmtId="164" fontId="0" fillId="0" borderId="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'Executive Dashboard'!$H$5:$H$9</c:f>
              <c:strCache>
                <c:ptCount val="5"/>
                <c:pt idx="0">
                  <c:v>Toys</c:v>
                </c:pt>
                <c:pt idx="1">
                  <c:v>Art &amp; Crafts</c:v>
                </c:pt>
                <c:pt idx="2">
                  <c:v>Electronics</c:v>
                </c:pt>
                <c:pt idx="3">
                  <c:v>Games</c:v>
                </c:pt>
                <c:pt idx="4">
                  <c:v>Sports &amp; Outdoors</c:v>
                </c:pt>
              </c:strCache>
            </c:strRef>
          </c:cat>
          <c:val>
            <c:numRef>
              <c:f>'Executive Dashboard'!$I$5:$I$9</c:f>
              <c:numCache>
                <c:formatCode>\$#,##0</c:formatCode>
                <c:ptCount val="5"/>
                <c:pt idx="0">
                  <c:v>5093241.0000260454</c:v>
                </c:pt>
                <c:pt idx="1">
                  <c:v>2705364.2600071752</c:v>
                </c:pt>
                <c:pt idx="2">
                  <c:v>2246771.2500004987</c:v>
                </c:pt>
                <c:pt idx="3">
                  <c:v>2226836.2700005835</c:v>
                </c:pt>
                <c:pt idx="4">
                  <c:v>2172359.5699995877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9-4064-8DFC-C6AABE716785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'Executive Dashboard'!$H$5:$H$9</c:f>
              <c:strCache>
                <c:ptCount val="5"/>
                <c:pt idx="0">
                  <c:v>Toys</c:v>
                </c:pt>
                <c:pt idx="1">
                  <c:v>Art &amp; Crafts</c:v>
                </c:pt>
                <c:pt idx="2">
                  <c:v>Electronics</c:v>
                </c:pt>
                <c:pt idx="3">
                  <c:v>Games</c:v>
                </c:pt>
                <c:pt idx="4">
                  <c:v>Sports &amp; Outdoors</c:v>
                </c:pt>
              </c:strCache>
            </c:strRef>
          </c:cat>
          <c:val>
            <c:numRef>
              <c:f>'Executive Dashboard'!$J$5:$J$9</c:f>
              <c:numCache>
                <c:formatCode>\$#,##0</c:formatCode>
                <c:ptCount val="5"/>
                <c:pt idx="0">
                  <c:v>1079527</c:v>
                </c:pt>
                <c:pt idx="1">
                  <c:v>753354</c:v>
                </c:pt>
                <c:pt idx="2">
                  <c:v>1001437</c:v>
                </c:pt>
                <c:pt idx="3">
                  <c:v>673993</c:v>
                </c:pt>
                <c:pt idx="4">
                  <c:v>505718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9-4064-8DFC-C6AABE716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Revenue/Store</c:v>
          </c:tx>
          <c:invertIfNegative val="1"/>
          <c:cat>
            <c:strRef>
              <c:f>'Executive Dashboard'!$H$13:$H$16</c:f>
              <c:strCache>
                <c:ptCount val="4"/>
                <c:pt idx="0">
                  <c:v>Airport</c:v>
                </c:pt>
                <c:pt idx="1">
                  <c:v>Downtown</c:v>
                </c:pt>
                <c:pt idx="2">
                  <c:v>Residential</c:v>
                </c:pt>
                <c:pt idx="3">
                  <c:v>Commercial</c:v>
                </c:pt>
              </c:strCache>
            </c:strRef>
          </c:cat>
          <c:val>
            <c:numRef>
              <c:f>'Executive Dashboard'!$I$13:$I$16</c:f>
              <c:numCache>
                <c:formatCode>\$#,##0</c:formatCode>
                <c:ptCount val="4"/>
                <c:pt idx="0">
                  <c:v>429907.52666642767</c:v>
                </c:pt>
                <c:pt idx="1">
                  <c:v>283434.35414037789</c:v>
                </c:pt>
                <c:pt idx="2">
                  <c:v>276018.99666649662</c:v>
                </c:pt>
                <c:pt idx="3">
                  <c:v>273261.62666772917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D11-AE5E-3391AD712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strRef>
              <c:f>'Executive Dashboard'!$H$20:$H$25</c:f>
              <c:strCache>
                <c:ptCount val="6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</c:strCache>
            </c:strRef>
          </c:cat>
          <c:val>
            <c:numRef>
              <c:f>'Executive Dashboard'!$I$20:$I$25</c:f>
              <c:numCache>
                <c:formatCode>\$#,##0</c:formatCode>
                <c:ptCount val="6"/>
                <c:pt idx="0">
                  <c:v>1531130.0099990857</c:v>
                </c:pt>
                <c:pt idx="1">
                  <c:v>1637492.1899990255</c:v>
                </c:pt>
                <c:pt idx="2">
                  <c:v>1732068.589998943</c:v>
                </c:pt>
                <c:pt idx="3">
                  <c:v>2183641.7899997924</c:v>
                </c:pt>
                <c:pt idx="4">
                  <c:v>2750302.2600064389</c:v>
                </c:pt>
                <c:pt idx="5">
                  <c:v>2860193.5100076487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6-4C68-A520-4B6EC6854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strRef>
              <c:f>'Sales Analysis'!$A$4:$A$24</c:f>
              <c:strCache>
                <c:ptCount val="21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</c:strCache>
            </c:strRef>
          </c:cat>
          <c:val>
            <c:numRef>
              <c:f>'Sales Analysis'!$B$4:$B$24</c:f>
              <c:numCache>
                <c:formatCode>\$#,##0</c:formatCode>
                <c:ptCount val="21"/>
                <c:pt idx="0">
                  <c:v>542554.90999979246</c:v>
                </c:pt>
                <c:pt idx="1">
                  <c:v>541351.64999980922</c:v>
                </c:pt>
                <c:pt idx="2">
                  <c:v>589485.18999977398</c:v>
                </c:pt>
                <c:pt idx="3">
                  <c:v>681072.97999971453</c:v>
                </c:pt>
                <c:pt idx="4">
                  <c:v>672369.89999970701</c:v>
                </c:pt>
                <c:pt idx="5">
                  <c:v>661980.21999971836</c:v>
                </c:pt>
                <c:pt idx="6">
                  <c:v>556034.22999975504</c:v>
                </c:pt>
                <c:pt idx="7">
                  <c:v>489422.72999980481</c:v>
                </c:pt>
                <c:pt idx="8">
                  <c:v>585844.0399997551</c:v>
                </c:pt>
                <c:pt idx="9">
                  <c:v>623874.38999972469</c:v>
                </c:pt>
                <c:pt idx="10">
                  <c:v>661304.14999970119</c:v>
                </c:pt>
                <c:pt idx="11">
                  <c:v>877203.68999955908</c:v>
                </c:pt>
                <c:pt idx="12">
                  <c:v>747196.21999964339</c:v>
                </c:pt>
                <c:pt idx="13">
                  <c:v>722632.18999966606</c:v>
                </c:pt>
                <c:pt idx="14">
                  <c:v>883515.63999953889</c:v>
                </c:pt>
                <c:pt idx="15">
                  <c:v>827691.06999958667</c:v>
                </c:pt>
                <c:pt idx="16">
                  <c:v>825319.4899995788</c:v>
                </c:pt>
                <c:pt idx="17">
                  <c:v>808299.24999957345</c:v>
                </c:pt>
                <c:pt idx="18">
                  <c:v>828348.85999957623</c:v>
                </c:pt>
                <c:pt idx="19">
                  <c:v>660877.06999968691</c:v>
                </c:pt>
                <c:pt idx="20">
                  <c:v>658194.47999967483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0-4F1D-9FCA-3DF3FAE05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'Sales Analysis'!$H$4:$H$10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'Sales Analysis'!$I$4:$I$10</c:f>
              <c:numCache>
                <c:formatCode>General</c:formatCode>
                <c:ptCount val="7"/>
                <c:pt idx="0">
                  <c:v>1531130.0099990857</c:v>
                </c:pt>
                <c:pt idx="1">
                  <c:v>1637492.1899990255</c:v>
                </c:pt>
                <c:pt idx="2">
                  <c:v>1732068.589998943</c:v>
                </c:pt>
                <c:pt idx="3">
                  <c:v>2183641.7899997924</c:v>
                </c:pt>
                <c:pt idx="4">
                  <c:v>2750302.2600064389</c:v>
                </c:pt>
                <c:pt idx="5">
                  <c:v>2860193.5100076487</c:v>
                </c:pt>
                <c:pt idx="6">
                  <c:v>1749743.999998946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B-451F-9A4C-713975C13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'Sales Analysis'!$H$13:$H$17</c:f>
              <c:strCache>
                <c:ptCount val="5"/>
                <c:pt idx="0">
                  <c:v>Toys</c:v>
                </c:pt>
                <c:pt idx="1">
                  <c:v>Art &amp; Crafts</c:v>
                </c:pt>
                <c:pt idx="2">
                  <c:v>Electronics</c:v>
                </c:pt>
                <c:pt idx="3">
                  <c:v>Games</c:v>
                </c:pt>
                <c:pt idx="4">
                  <c:v>Sports &amp; Outdoors</c:v>
                </c:pt>
              </c:strCache>
            </c:strRef>
          </c:cat>
          <c:val>
            <c:numRef>
              <c:f>'Sales Analysis'!$I$13:$I$17</c:f>
              <c:numCache>
                <c:formatCode>General</c:formatCode>
                <c:ptCount val="5"/>
                <c:pt idx="0">
                  <c:v>5093241.0000260454</c:v>
                </c:pt>
                <c:pt idx="1">
                  <c:v>2705364.2600071752</c:v>
                </c:pt>
                <c:pt idx="2">
                  <c:v>2246771.2500004987</c:v>
                </c:pt>
                <c:pt idx="3">
                  <c:v>2226836.2700005835</c:v>
                </c:pt>
                <c:pt idx="4">
                  <c:v>2172359.5699995877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E-405E-BE51-9605B1F3D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Profitability!$A$4:$A$8</c:f>
              <c:strCache>
                <c:ptCount val="5"/>
                <c:pt idx="0">
                  <c:v>Toys</c:v>
                </c:pt>
                <c:pt idx="1">
                  <c:v>Art &amp; Crafts</c:v>
                </c:pt>
                <c:pt idx="2">
                  <c:v>Electronics</c:v>
                </c:pt>
                <c:pt idx="3">
                  <c:v>Games</c:v>
                </c:pt>
                <c:pt idx="4">
                  <c:v>Sports &amp; Outdoors</c:v>
                </c:pt>
              </c:strCache>
            </c:strRef>
          </c:cat>
          <c:val>
            <c:numRef>
              <c:f>Profitability!$B$4:$B$8</c:f>
              <c:numCache>
                <c:formatCode>\$#,##0</c:formatCode>
                <c:ptCount val="5"/>
                <c:pt idx="0">
                  <c:v>5093241.0000260454</c:v>
                </c:pt>
                <c:pt idx="1">
                  <c:v>2705364.2600071752</c:v>
                </c:pt>
                <c:pt idx="2">
                  <c:v>2246771.2500004987</c:v>
                </c:pt>
                <c:pt idx="3">
                  <c:v>2226836.2700005835</c:v>
                </c:pt>
                <c:pt idx="4">
                  <c:v>2172359.5699995877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A-4008-B498-4DFE668B8B96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Profitability!$A$4:$A$8</c:f>
              <c:strCache>
                <c:ptCount val="5"/>
                <c:pt idx="0">
                  <c:v>Toys</c:v>
                </c:pt>
                <c:pt idx="1">
                  <c:v>Art &amp; Crafts</c:v>
                </c:pt>
                <c:pt idx="2">
                  <c:v>Electronics</c:v>
                </c:pt>
                <c:pt idx="3">
                  <c:v>Games</c:v>
                </c:pt>
                <c:pt idx="4">
                  <c:v>Sports &amp; Outdoors</c:v>
                </c:pt>
              </c:strCache>
            </c:strRef>
          </c:cat>
          <c:val>
            <c:numRef>
              <c:f>Profitability!$C$4:$C$8</c:f>
              <c:numCache>
                <c:formatCode>\$#,##0</c:formatCode>
                <c:ptCount val="5"/>
                <c:pt idx="0">
                  <c:v>1079527</c:v>
                </c:pt>
                <c:pt idx="1">
                  <c:v>753354</c:v>
                </c:pt>
                <c:pt idx="2">
                  <c:v>1001437</c:v>
                </c:pt>
                <c:pt idx="3">
                  <c:v>673993</c:v>
                </c:pt>
                <c:pt idx="4">
                  <c:v>505718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A-4008-B498-4DFE668B8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Category</c:v>
          </c:tx>
          <c:invertIfNegative val="1"/>
          <c:cat>
            <c:strRef>
              <c:f>Profitability!$H$4:$H$13</c:f>
              <c:strCache>
                <c:ptCount val="10"/>
                <c:pt idx="0">
                  <c:v>Colorbuds</c:v>
                </c:pt>
                <c:pt idx="1">
                  <c:v>Action Figure</c:v>
                </c:pt>
                <c:pt idx="2">
                  <c:v>Lego Bricks</c:v>
                </c:pt>
                <c:pt idx="3">
                  <c:v>Deck Of Cards</c:v>
                </c:pt>
                <c:pt idx="4">
                  <c:v>Glass Marbles</c:v>
                </c:pt>
                <c:pt idx="5">
                  <c:v>Barrel O' Slime</c:v>
                </c:pt>
                <c:pt idx="6">
                  <c:v>Kids Makeup Kit</c:v>
                </c:pt>
                <c:pt idx="7">
                  <c:v>Nerf Gun</c:v>
                </c:pt>
                <c:pt idx="8">
                  <c:v>Dart Gun</c:v>
                </c:pt>
                <c:pt idx="9">
                  <c:v>Etch A Sketch</c:v>
                </c:pt>
              </c:strCache>
            </c:strRef>
          </c:cat>
          <c:val>
            <c:numRef>
              <c:f>Profitability!$I$4:$I$13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B-42AD-BA29-9BB7640AC465}"/>
            </c:ext>
          </c:extLst>
        </c:ser>
        <c:ser>
          <c:idx val="1"/>
          <c:order val="1"/>
          <c:tx>
            <c:v>Revenue</c:v>
          </c:tx>
          <c:invertIfNegative val="1"/>
          <c:cat>
            <c:strRef>
              <c:f>Profitability!$H$4:$H$13</c:f>
              <c:strCache>
                <c:ptCount val="10"/>
                <c:pt idx="0">
                  <c:v>Colorbuds</c:v>
                </c:pt>
                <c:pt idx="1">
                  <c:v>Action Figure</c:v>
                </c:pt>
                <c:pt idx="2">
                  <c:v>Lego Bricks</c:v>
                </c:pt>
                <c:pt idx="3">
                  <c:v>Deck Of Cards</c:v>
                </c:pt>
                <c:pt idx="4">
                  <c:v>Glass Marbles</c:v>
                </c:pt>
                <c:pt idx="5">
                  <c:v>Barrel O' Slime</c:v>
                </c:pt>
                <c:pt idx="6">
                  <c:v>Kids Makeup Kit</c:v>
                </c:pt>
                <c:pt idx="7">
                  <c:v>Nerf Gun</c:v>
                </c:pt>
                <c:pt idx="8">
                  <c:v>Dart Gun</c:v>
                </c:pt>
                <c:pt idx="9">
                  <c:v>Etch A Sketch</c:v>
                </c:pt>
              </c:strCache>
            </c:strRef>
          </c:cat>
          <c:val>
            <c:numRef>
              <c:f>Profitability!$J$4:$J$13</c:f>
              <c:numCache>
                <c:formatCode>\$#,##0</c:formatCode>
                <c:ptCount val="10"/>
                <c:pt idx="0">
                  <c:v>1564476.3199992015</c:v>
                </c:pt>
                <c:pt idx="1">
                  <c:v>926748.41999957559</c:v>
                </c:pt>
                <c:pt idx="2">
                  <c:v>2388882.6300008711</c:v>
                </c:pt>
                <c:pt idx="3">
                  <c:v>587397.65999949921</c:v>
                </c:pt>
                <c:pt idx="4">
                  <c:v>412322.8199998801</c:v>
                </c:pt>
                <c:pt idx="5">
                  <c:v>365735.3699997451</c:v>
                </c:pt>
                <c:pt idx="6">
                  <c:v>488415.66999985842</c:v>
                </c:pt>
                <c:pt idx="7">
                  <c:v>530594.56999984232</c:v>
                </c:pt>
                <c:pt idx="8">
                  <c:v>505092.11999983061</c:v>
                </c:pt>
                <c:pt idx="9">
                  <c:v>255406.31999996575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B-42AD-BA29-9BB7640AC465}"/>
            </c:ext>
          </c:extLst>
        </c:ser>
        <c:ser>
          <c:idx val="2"/>
          <c:order val="2"/>
          <c:tx>
            <c:v>Profit</c:v>
          </c:tx>
          <c:invertIfNegative val="1"/>
          <c:cat>
            <c:strRef>
              <c:f>Profitability!$H$4:$H$13</c:f>
              <c:strCache>
                <c:ptCount val="10"/>
                <c:pt idx="0">
                  <c:v>Colorbuds</c:v>
                </c:pt>
                <c:pt idx="1">
                  <c:v>Action Figure</c:v>
                </c:pt>
                <c:pt idx="2">
                  <c:v>Lego Bricks</c:v>
                </c:pt>
                <c:pt idx="3">
                  <c:v>Deck Of Cards</c:v>
                </c:pt>
                <c:pt idx="4">
                  <c:v>Glass Marbles</c:v>
                </c:pt>
                <c:pt idx="5">
                  <c:v>Barrel O' Slime</c:v>
                </c:pt>
                <c:pt idx="6">
                  <c:v>Kids Makeup Kit</c:v>
                </c:pt>
                <c:pt idx="7">
                  <c:v>Nerf Gun</c:v>
                </c:pt>
                <c:pt idx="8">
                  <c:v>Dart Gun</c:v>
                </c:pt>
                <c:pt idx="9">
                  <c:v>Etch A Sketch</c:v>
                </c:pt>
              </c:strCache>
            </c:strRef>
          </c:cat>
          <c:val>
            <c:numRef>
              <c:f>Profitability!$K$4:$K$13</c:f>
              <c:numCache>
                <c:formatCode>\$#,##0</c:formatCode>
                <c:ptCount val="10"/>
                <c:pt idx="0">
                  <c:v>834944</c:v>
                </c:pt>
                <c:pt idx="1">
                  <c:v>347748</c:v>
                </c:pt>
                <c:pt idx="2">
                  <c:v>298685</c:v>
                </c:pt>
                <c:pt idx="3">
                  <c:v>252102</c:v>
                </c:pt>
                <c:pt idx="4">
                  <c:v>187590</c:v>
                </c:pt>
                <c:pt idx="5">
                  <c:v>183326</c:v>
                </c:pt>
                <c:pt idx="6">
                  <c:v>146597.99999999997</c:v>
                </c:pt>
                <c:pt idx="7">
                  <c:v>132714.99999999997</c:v>
                </c:pt>
                <c:pt idx="8">
                  <c:v>126352</c:v>
                </c:pt>
                <c:pt idx="9">
                  <c:v>121679.99999999999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B-42AD-BA29-9BB7640AC465}"/>
            </c:ext>
          </c:extLst>
        </c:ser>
        <c:ser>
          <c:idx val="3"/>
          <c:order val="3"/>
          <c:tx>
            <c:v>Margin %</c:v>
          </c:tx>
          <c:invertIfNegative val="1"/>
          <c:cat>
            <c:strRef>
              <c:f>Profitability!$H$4:$H$13</c:f>
              <c:strCache>
                <c:ptCount val="10"/>
                <c:pt idx="0">
                  <c:v>Colorbuds</c:v>
                </c:pt>
                <c:pt idx="1">
                  <c:v>Action Figure</c:v>
                </c:pt>
                <c:pt idx="2">
                  <c:v>Lego Bricks</c:v>
                </c:pt>
                <c:pt idx="3">
                  <c:v>Deck Of Cards</c:v>
                </c:pt>
                <c:pt idx="4">
                  <c:v>Glass Marbles</c:v>
                </c:pt>
                <c:pt idx="5">
                  <c:v>Barrel O' Slime</c:v>
                </c:pt>
                <c:pt idx="6">
                  <c:v>Kids Makeup Kit</c:v>
                </c:pt>
                <c:pt idx="7">
                  <c:v>Nerf Gun</c:v>
                </c:pt>
                <c:pt idx="8">
                  <c:v>Dart Gun</c:v>
                </c:pt>
                <c:pt idx="9">
                  <c:v>Etch A Sketch</c:v>
                </c:pt>
              </c:strCache>
            </c:strRef>
          </c:cat>
          <c:val>
            <c:numRef>
              <c:f>Profitability!$L$4:$L$13</c:f>
              <c:numCache>
                <c:formatCode>0.0%</c:formatCode>
                <c:ptCount val="10"/>
                <c:pt idx="0">
                  <c:v>0.53368912608432839</c:v>
                </c:pt>
                <c:pt idx="1">
                  <c:v>0.37523452157615683</c:v>
                </c:pt>
                <c:pt idx="2">
                  <c:v>0.12503125781440802</c:v>
                </c:pt>
                <c:pt idx="3">
                  <c:v>0.42918454935658906</c:v>
                </c:pt>
                <c:pt idx="4">
                  <c:v>0.45495905368530065</c:v>
                </c:pt>
                <c:pt idx="5">
                  <c:v>0.50125313283242956</c:v>
                </c:pt>
                <c:pt idx="6">
                  <c:v>0.30015007503760571</c:v>
                </c:pt>
                <c:pt idx="7">
                  <c:v>0.25012506253133993</c:v>
                </c:pt>
                <c:pt idx="8">
                  <c:v>0.25015634771740725</c:v>
                </c:pt>
                <c:pt idx="9">
                  <c:v>0.47641734159129773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1B-42AD-BA29-9BB7640AC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City</c:v>
          </c:tx>
          <c:invertIfNegative val="1"/>
          <c:cat>
            <c:strRef>
              <c:f>'Stores &amp; Inventory'!$A$4:$A$13</c:f>
              <c:strCache>
                <c:ptCount val="10"/>
                <c:pt idx="0">
                  <c:v>Maven Toys Ciudad de Mexico 2</c:v>
                </c:pt>
                <c:pt idx="1">
                  <c:v>Maven Toys Guadalajara 3</c:v>
                </c:pt>
                <c:pt idx="2">
                  <c:v>Maven Toys Ciudad de Mexico 1</c:v>
                </c:pt>
                <c:pt idx="3">
                  <c:v>Maven Toys Monterrey 2</c:v>
                </c:pt>
                <c:pt idx="4">
                  <c:v>Maven Toys Toluca 1</c:v>
                </c:pt>
                <c:pt idx="5">
                  <c:v>Maven Toys Guadalajara 4</c:v>
                </c:pt>
                <c:pt idx="6">
                  <c:v>Maven Toys Hermosillo 3</c:v>
                </c:pt>
                <c:pt idx="7">
                  <c:v>Maven Toys Mexicali 1</c:v>
                </c:pt>
                <c:pt idx="8">
                  <c:v>Maven Toys Saltillo 1</c:v>
                </c:pt>
                <c:pt idx="9">
                  <c:v>Maven Toys Ciudad de Mexico 3</c:v>
                </c:pt>
              </c:strCache>
            </c:strRef>
          </c:cat>
          <c:val>
            <c:numRef>
              <c:f>'Stores &amp; Inventory'!$B$4:$B$13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7-41E7-B442-69586E06C816}"/>
            </c:ext>
          </c:extLst>
        </c:ser>
        <c:ser>
          <c:idx val="1"/>
          <c:order val="1"/>
          <c:tx>
            <c:v>Location</c:v>
          </c:tx>
          <c:invertIfNegative val="1"/>
          <c:cat>
            <c:strRef>
              <c:f>'Stores &amp; Inventory'!$A$4:$A$13</c:f>
              <c:strCache>
                <c:ptCount val="10"/>
                <c:pt idx="0">
                  <c:v>Maven Toys Ciudad de Mexico 2</c:v>
                </c:pt>
                <c:pt idx="1">
                  <c:v>Maven Toys Guadalajara 3</c:v>
                </c:pt>
                <c:pt idx="2">
                  <c:v>Maven Toys Ciudad de Mexico 1</c:v>
                </c:pt>
                <c:pt idx="3">
                  <c:v>Maven Toys Monterrey 2</c:v>
                </c:pt>
                <c:pt idx="4">
                  <c:v>Maven Toys Toluca 1</c:v>
                </c:pt>
                <c:pt idx="5">
                  <c:v>Maven Toys Guadalajara 4</c:v>
                </c:pt>
                <c:pt idx="6">
                  <c:v>Maven Toys Hermosillo 3</c:v>
                </c:pt>
                <c:pt idx="7">
                  <c:v>Maven Toys Mexicali 1</c:v>
                </c:pt>
                <c:pt idx="8">
                  <c:v>Maven Toys Saltillo 1</c:v>
                </c:pt>
                <c:pt idx="9">
                  <c:v>Maven Toys Ciudad de Mexico 3</c:v>
                </c:pt>
              </c:strCache>
            </c:strRef>
          </c:cat>
          <c:val>
            <c:numRef>
              <c:f>'Stores &amp; Inventory'!$C$4:$C$13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7-41E7-B442-69586E06C816}"/>
            </c:ext>
          </c:extLst>
        </c:ser>
        <c:ser>
          <c:idx val="2"/>
          <c:order val="2"/>
          <c:tx>
            <c:v>Revenue</c:v>
          </c:tx>
          <c:invertIfNegative val="1"/>
          <c:cat>
            <c:strRef>
              <c:f>'Stores &amp; Inventory'!$A$4:$A$13</c:f>
              <c:strCache>
                <c:ptCount val="10"/>
                <c:pt idx="0">
                  <c:v>Maven Toys Ciudad de Mexico 2</c:v>
                </c:pt>
                <c:pt idx="1">
                  <c:v>Maven Toys Guadalajara 3</c:v>
                </c:pt>
                <c:pt idx="2">
                  <c:v>Maven Toys Ciudad de Mexico 1</c:v>
                </c:pt>
                <c:pt idx="3">
                  <c:v>Maven Toys Monterrey 2</c:v>
                </c:pt>
                <c:pt idx="4">
                  <c:v>Maven Toys Toluca 1</c:v>
                </c:pt>
                <c:pt idx="5">
                  <c:v>Maven Toys Guadalajara 4</c:v>
                </c:pt>
                <c:pt idx="6">
                  <c:v>Maven Toys Hermosillo 3</c:v>
                </c:pt>
                <c:pt idx="7">
                  <c:v>Maven Toys Mexicali 1</c:v>
                </c:pt>
                <c:pt idx="8">
                  <c:v>Maven Toys Saltillo 1</c:v>
                </c:pt>
                <c:pt idx="9">
                  <c:v>Maven Toys Ciudad de Mexico 3</c:v>
                </c:pt>
              </c:strCache>
            </c:strRef>
          </c:cat>
          <c:val>
            <c:numRef>
              <c:f>'Stores &amp; Inventory'!$D$4:$D$13</c:f>
              <c:numCache>
                <c:formatCode>\$#,##0</c:formatCode>
                <c:ptCount val="10"/>
                <c:pt idx="0">
                  <c:v>554553.42999979306</c:v>
                </c:pt>
                <c:pt idx="1">
                  <c:v>449354.90999985964</c:v>
                </c:pt>
                <c:pt idx="2">
                  <c:v>433556.20999985136</c:v>
                </c:pt>
                <c:pt idx="3">
                  <c:v>372998.81999989355</c:v>
                </c:pt>
                <c:pt idx="4">
                  <c:v>411157.31999987364</c:v>
                </c:pt>
                <c:pt idx="5">
                  <c:v>348466.63999990991</c:v>
                </c:pt>
                <c:pt idx="6">
                  <c:v>344846.6399999276</c:v>
                </c:pt>
                <c:pt idx="7">
                  <c:v>294019.41999993927</c:v>
                </c:pt>
                <c:pt idx="8">
                  <c:v>330408.89999991638</c:v>
                </c:pt>
                <c:pt idx="9">
                  <c:v>337424.65999991749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97-41E7-B442-69586E06C816}"/>
            </c:ext>
          </c:extLst>
        </c:ser>
        <c:ser>
          <c:idx val="3"/>
          <c:order val="3"/>
          <c:tx>
            <c:v>Profit</c:v>
          </c:tx>
          <c:invertIfNegative val="1"/>
          <c:cat>
            <c:strRef>
              <c:f>'Stores &amp; Inventory'!$A$4:$A$13</c:f>
              <c:strCache>
                <c:ptCount val="10"/>
                <c:pt idx="0">
                  <c:v>Maven Toys Ciudad de Mexico 2</c:v>
                </c:pt>
                <c:pt idx="1">
                  <c:v>Maven Toys Guadalajara 3</c:v>
                </c:pt>
                <c:pt idx="2">
                  <c:v>Maven Toys Ciudad de Mexico 1</c:v>
                </c:pt>
                <c:pt idx="3">
                  <c:v>Maven Toys Monterrey 2</c:v>
                </c:pt>
                <c:pt idx="4">
                  <c:v>Maven Toys Toluca 1</c:v>
                </c:pt>
                <c:pt idx="5">
                  <c:v>Maven Toys Guadalajara 4</c:v>
                </c:pt>
                <c:pt idx="6">
                  <c:v>Maven Toys Hermosillo 3</c:v>
                </c:pt>
                <c:pt idx="7">
                  <c:v>Maven Toys Mexicali 1</c:v>
                </c:pt>
                <c:pt idx="8">
                  <c:v>Maven Toys Saltillo 1</c:v>
                </c:pt>
                <c:pt idx="9">
                  <c:v>Maven Toys Ciudad de Mexico 3</c:v>
                </c:pt>
              </c:strCache>
            </c:strRef>
          </c:cat>
          <c:val>
            <c:numRef>
              <c:f>'Stores &amp; Inventory'!$E$4:$E$13</c:f>
              <c:numCache>
                <c:formatCode>\$#,##0</c:formatCode>
                <c:ptCount val="10"/>
                <c:pt idx="0">
                  <c:v>169856</c:v>
                </c:pt>
                <c:pt idx="1">
                  <c:v>121571</c:v>
                </c:pt>
                <c:pt idx="2">
                  <c:v>111296</c:v>
                </c:pt>
                <c:pt idx="3">
                  <c:v>106783</c:v>
                </c:pt>
                <c:pt idx="4">
                  <c:v>104612</c:v>
                </c:pt>
                <c:pt idx="5">
                  <c:v>102178</c:v>
                </c:pt>
                <c:pt idx="6">
                  <c:v>98825</c:v>
                </c:pt>
                <c:pt idx="7">
                  <c:v>97206</c:v>
                </c:pt>
                <c:pt idx="8">
                  <c:v>94252</c:v>
                </c:pt>
                <c:pt idx="9">
                  <c:v>94021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97-41E7-B442-69586E06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Stores</c:v>
          </c:tx>
          <c:invertIfNegative val="1"/>
          <c:cat>
            <c:strRef>
              <c:f>'Data Tables'!$A$12:$A$15</c:f>
              <c:strCache>
                <c:ptCount val="4"/>
                <c:pt idx="0">
                  <c:v>Airport</c:v>
                </c:pt>
                <c:pt idx="1">
                  <c:v>Downtown</c:v>
                </c:pt>
                <c:pt idx="2">
                  <c:v>Residential</c:v>
                </c:pt>
                <c:pt idx="3">
                  <c:v>Commercial</c:v>
                </c:pt>
              </c:strCache>
            </c:strRef>
          </c:cat>
          <c:val>
            <c:numRef>
              <c:f>'Data Tables'!$B$12:$B$15</c:f>
              <c:numCache>
                <c:formatCode>\$#,##0</c:formatCode>
                <c:ptCount val="4"/>
                <c:pt idx="0">
                  <c:v>3</c:v>
                </c:pt>
                <c:pt idx="1">
                  <c:v>29</c:v>
                </c:pt>
                <c:pt idx="2">
                  <c:v>6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1-42B9-B4F3-69C76C8F3C2B}"/>
            </c:ext>
          </c:extLst>
        </c:ser>
        <c:ser>
          <c:idx val="1"/>
          <c:order val="1"/>
          <c:tx>
            <c:v>Revenue</c:v>
          </c:tx>
          <c:invertIfNegative val="1"/>
          <c:cat>
            <c:strRef>
              <c:f>'Data Tables'!$A$12:$A$15</c:f>
              <c:strCache>
                <c:ptCount val="4"/>
                <c:pt idx="0">
                  <c:v>Airport</c:v>
                </c:pt>
                <c:pt idx="1">
                  <c:v>Downtown</c:v>
                </c:pt>
                <c:pt idx="2">
                  <c:v>Residential</c:v>
                </c:pt>
                <c:pt idx="3">
                  <c:v>Commercial</c:v>
                </c:pt>
              </c:strCache>
            </c:strRef>
          </c:cat>
          <c:val>
            <c:numRef>
              <c:f>'Data Tables'!$C$12:$C$15</c:f>
              <c:numCache>
                <c:formatCode>\$#,##0</c:formatCode>
                <c:ptCount val="4"/>
                <c:pt idx="0">
                  <c:v>1289722.579999283</c:v>
                </c:pt>
                <c:pt idx="1">
                  <c:v>8219596.2700709589</c:v>
                </c:pt>
                <c:pt idx="2">
                  <c:v>1656113.9799989797</c:v>
                </c:pt>
                <c:pt idx="3">
                  <c:v>3279139.5200127503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1-42B9-B4F3-69C76C8F3C2B}"/>
            </c:ext>
          </c:extLst>
        </c:ser>
        <c:ser>
          <c:idx val="2"/>
          <c:order val="2"/>
          <c:tx>
            <c:v>Profit</c:v>
          </c:tx>
          <c:invertIfNegative val="1"/>
          <c:cat>
            <c:strRef>
              <c:f>'Data Tables'!$A$12:$A$15</c:f>
              <c:strCache>
                <c:ptCount val="4"/>
                <c:pt idx="0">
                  <c:v>Airport</c:v>
                </c:pt>
                <c:pt idx="1">
                  <c:v>Downtown</c:v>
                </c:pt>
                <c:pt idx="2">
                  <c:v>Residential</c:v>
                </c:pt>
                <c:pt idx="3">
                  <c:v>Commercial</c:v>
                </c:pt>
              </c:strCache>
            </c:strRef>
          </c:cat>
          <c:val>
            <c:numRef>
              <c:f>'Data Tables'!$D$12:$D$15</c:f>
              <c:numCache>
                <c:formatCode>0.0%</c:formatCode>
                <c:ptCount val="4"/>
                <c:pt idx="0">
                  <c:v>378049</c:v>
                </c:pt>
                <c:pt idx="1">
                  <c:v>2248728</c:v>
                </c:pt>
                <c:pt idx="2">
                  <c:v>460388</c:v>
                </c:pt>
                <c:pt idx="3">
                  <c:v>926864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11-42B9-B4F3-69C76C8F3C2B}"/>
            </c:ext>
          </c:extLst>
        </c:ser>
        <c:ser>
          <c:idx val="3"/>
          <c:order val="3"/>
          <c:tx>
            <c:v>Margin %</c:v>
          </c:tx>
          <c:invertIfNegative val="1"/>
          <c:cat>
            <c:strRef>
              <c:f>'Data Tables'!$A$12:$A$15</c:f>
              <c:strCache>
                <c:ptCount val="4"/>
                <c:pt idx="0">
                  <c:v>Airport</c:v>
                </c:pt>
                <c:pt idx="1">
                  <c:v>Downtown</c:v>
                </c:pt>
                <c:pt idx="2">
                  <c:v>Residential</c:v>
                </c:pt>
                <c:pt idx="3">
                  <c:v>Commercial</c:v>
                </c:pt>
              </c:strCache>
            </c:strRef>
          </c:cat>
          <c:val>
            <c:numRef>
              <c:f>'Data Tables'!$E$12:$E$15</c:f>
              <c:numCache>
                <c:formatCode>#,##0</c:formatCode>
                <c:ptCount val="4"/>
                <c:pt idx="0">
                  <c:v>0.29312427793596524</c:v>
                </c:pt>
                <c:pt idx="1">
                  <c:v>0.27358132031229154</c:v>
                </c:pt>
                <c:pt idx="2">
                  <c:v>0.27799294345687708</c:v>
                </c:pt>
                <c:pt idx="3">
                  <c:v>0.28265463983563471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11-42B9-B4F3-69C76C8F3C2B}"/>
            </c:ext>
          </c:extLst>
        </c:ser>
        <c:ser>
          <c:idx val="4"/>
          <c:order val="4"/>
          <c:tx>
            <c:v>Revenue/Store</c:v>
          </c:tx>
          <c:invertIfNegative val="1"/>
          <c:cat>
            <c:strRef>
              <c:f>'Data Tables'!$A$12:$A$15</c:f>
              <c:strCache>
                <c:ptCount val="4"/>
                <c:pt idx="0">
                  <c:v>Airport</c:v>
                </c:pt>
                <c:pt idx="1">
                  <c:v>Downtown</c:v>
                </c:pt>
                <c:pt idx="2">
                  <c:v>Residential</c:v>
                </c:pt>
                <c:pt idx="3">
                  <c:v>Commercial</c:v>
                </c:pt>
              </c:strCache>
            </c:strRef>
          </c:cat>
          <c:val>
            <c:numRef>
              <c:f>'Data Tables'!$F$12:$F$15</c:f>
              <c:numCache>
                <c:formatCode>#,##0</c:formatCode>
                <c:ptCount val="4"/>
                <c:pt idx="0">
                  <c:v>429907.52666642767</c:v>
                </c:pt>
                <c:pt idx="1">
                  <c:v>283434.35414037789</c:v>
                </c:pt>
                <c:pt idx="2">
                  <c:v>276018.99666649662</c:v>
                </c:pt>
                <c:pt idx="3">
                  <c:v>273261.62666772917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11-42B9-B4F3-69C76C8F3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Product</c:v>
          </c:tx>
          <c:cat>
            <c:numRef>
              <c:f>'Marketing Insights'!$A$4:$A$38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'Marketing Insights'!$B$4:$B$38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A-4545-8F2C-0E2FC9EA4673}"/>
            </c:ext>
          </c:extLst>
        </c:ser>
        <c:ser>
          <c:idx val="1"/>
          <c:order val="1"/>
          <c:tx>
            <c:v>Category</c:v>
          </c:tx>
          <c:cat>
            <c:numRef>
              <c:f>'Marketing Insights'!$A$4:$A$38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'Marketing Insights'!$C$4:$C$38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A-4545-8F2C-0E2FC9EA4673}"/>
            </c:ext>
          </c:extLst>
        </c:ser>
        <c:ser>
          <c:idx val="2"/>
          <c:order val="2"/>
          <c:tx>
            <c:v>Revenue</c:v>
          </c:tx>
          <c:cat>
            <c:numRef>
              <c:f>'Marketing Insights'!$A$4:$A$38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'Marketing Insights'!$D$4:$D$38</c:f>
              <c:numCache>
                <c:formatCode>\$#,##0</c:formatCode>
                <c:ptCount val="35"/>
                <c:pt idx="0">
                  <c:v>1564476.3199992015</c:v>
                </c:pt>
                <c:pt idx="1">
                  <c:v>926748.41999957559</c:v>
                </c:pt>
                <c:pt idx="2">
                  <c:v>2388882.6300008711</c:v>
                </c:pt>
                <c:pt idx="3">
                  <c:v>587397.65999949921</c:v>
                </c:pt>
                <c:pt idx="4">
                  <c:v>412322.8199998801</c:v>
                </c:pt>
                <c:pt idx="5">
                  <c:v>365735.3699997451</c:v>
                </c:pt>
                <c:pt idx="6">
                  <c:v>488415.66999985842</c:v>
                </c:pt>
                <c:pt idx="7">
                  <c:v>530594.56999984232</c:v>
                </c:pt>
                <c:pt idx="8">
                  <c:v>505092.11999983061</c:v>
                </c:pt>
                <c:pt idx="9">
                  <c:v>255406.31999996575</c:v>
                </c:pt>
                <c:pt idx="10">
                  <c:v>968962.01999960642</c:v>
                </c:pt>
                <c:pt idx="11">
                  <c:v>507766.10999979032</c:v>
                </c:pt>
                <c:pt idx="12">
                  <c:v>434889.87999985262</c:v>
                </c:pt>
                <c:pt idx="13">
                  <c:v>376938.41999991646</c:v>
                </c:pt>
                <c:pt idx="14">
                  <c:v>308352.71999981772</c:v>
                </c:pt>
                <c:pt idx="15">
                  <c:v>335703.95999987866</c:v>
                </c:pt>
                <c:pt idx="16">
                  <c:v>130409.46000002784</c:v>
                </c:pt>
                <c:pt idx="17">
                  <c:v>912983.27999966987</c:v>
                </c:pt>
                <c:pt idx="18">
                  <c:v>109705.12000000881</c:v>
                </c:pt>
                <c:pt idx="19">
                  <c:v>541629.51999972761</c:v>
                </c:pt>
                <c:pt idx="20">
                  <c:v>305356.5099999588</c:v>
                </c:pt>
                <c:pt idx="21">
                  <c:v>135727.41000003534</c:v>
                </c:pt>
                <c:pt idx="22">
                  <c:v>85963.950000005891</c:v>
                </c:pt>
                <c:pt idx="23">
                  <c:v>66148.5299999985</c:v>
                </c:pt>
                <c:pt idx="24">
                  <c:v>420213.63999984344</c:v>
                </c:pt>
                <c:pt idx="25">
                  <c:v>45696.420000000588</c:v>
                </c:pt>
                <c:pt idx="26">
                  <c:v>157387.02000000188</c:v>
                </c:pt>
                <c:pt idx="27">
                  <c:v>115408.72000004054</c:v>
                </c:pt>
                <c:pt idx="28">
                  <c:v>91363.800000006464</c:v>
                </c:pt>
                <c:pt idx="29">
                  <c:v>101827.07000000826</c:v>
                </c:pt>
                <c:pt idx="30">
                  <c:v>67666.149999998437</c:v>
                </c:pt>
                <c:pt idx="31">
                  <c:v>83343.840000003518</c:v>
                </c:pt>
                <c:pt idx="32">
                  <c:v>49738.709999999133</c:v>
                </c:pt>
                <c:pt idx="33">
                  <c:v>21652.900000000598</c:v>
                </c:pt>
                <c:pt idx="34">
                  <c:v>44665.289999999906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DA-4545-8F2C-0E2FC9EA4673}"/>
            </c:ext>
          </c:extLst>
        </c:ser>
        <c:ser>
          <c:idx val="3"/>
          <c:order val="3"/>
          <c:tx>
            <c:v>Profit</c:v>
          </c:tx>
          <c:cat>
            <c:numRef>
              <c:f>'Marketing Insights'!$A$4:$A$38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'Marketing Insights'!$E$4:$E$38</c:f>
              <c:numCache>
                <c:formatCode>\$#,##0</c:formatCode>
                <c:ptCount val="35"/>
                <c:pt idx="0">
                  <c:v>834944</c:v>
                </c:pt>
                <c:pt idx="1">
                  <c:v>347748</c:v>
                </c:pt>
                <c:pt idx="2">
                  <c:v>298685</c:v>
                </c:pt>
                <c:pt idx="3">
                  <c:v>252102</c:v>
                </c:pt>
                <c:pt idx="4">
                  <c:v>187590</c:v>
                </c:pt>
                <c:pt idx="5">
                  <c:v>183326</c:v>
                </c:pt>
                <c:pt idx="6">
                  <c:v>146597.99999999997</c:v>
                </c:pt>
                <c:pt idx="7">
                  <c:v>132714.99999999997</c:v>
                </c:pt>
                <c:pt idx="8">
                  <c:v>126352</c:v>
                </c:pt>
                <c:pt idx="9">
                  <c:v>121679.99999999999</c:v>
                </c:pt>
                <c:pt idx="10">
                  <c:v>121196</c:v>
                </c:pt>
                <c:pt idx="11">
                  <c:v>117267</c:v>
                </c:pt>
                <c:pt idx="12">
                  <c:v>116048</c:v>
                </c:pt>
                <c:pt idx="13">
                  <c:v>107747.99999999999</c:v>
                </c:pt>
                <c:pt idx="14">
                  <c:v>103128.00000000001</c:v>
                </c:pt>
                <c:pt idx="15">
                  <c:v>100812</c:v>
                </c:pt>
                <c:pt idx="16">
                  <c:v>91378</c:v>
                </c:pt>
                <c:pt idx="17">
                  <c:v>91344</c:v>
                </c:pt>
                <c:pt idx="18">
                  <c:v>60367.999999999993</c:v>
                </c:pt>
                <c:pt idx="19">
                  <c:v>60248</c:v>
                </c:pt>
                <c:pt idx="20">
                  <c:v>58745</c:v>
                </c:pt>
                <c:pt idx="21">
                  <c:v>45318</c:v>
                </c:pt>
                <c:pt idx="22">
                  <c:v>43025</c:v>
                </c:pt>
                <c:pt idx="23">
                  <c:v>42351.999999999993</c:v>
                </c:pt>
                <c:pt idx="24">
                  <c:v>38236</c:v>
                </c:pt>
                <c:pt idx="25">
                  <c:v>29106</c:v>
                </c:pt>
                <c:pt idx="26">
                  <c:v>25192</c:v>
                </c:pt>
                <c:pt idx="27">
                  <c:v>23128</c:v>
                </c:pt>
                <c:pt idx="28">
                  <c:v>22860</c:v>
                </c:pt>
                <c:pt idx="29">
                  <c:v>20379</c:v>
                </c:pt>
                <c:pt idx="30">
                  <c:v>20309.999999999996</c:v>
                </c:pt>
                <c:pt idx="31">
                  <c:v>12832</c:v>
                </c:pt>
                <c:pt idx="32">
                  <c:v>11487</c:v>
                </c:pt>
                <c:pt idx="33">
                  <c:v>10840</c:v>
                </c:pt>
                <c:pt idx="34">
                  <c:v>8942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DA-4545-8F2C-0E2FC9EA4673}"/>
            </c:ext>
          </c:extLst>
        </c:ser>
        <c:ser>
          <c:idx val="4"/>
          <c:order val="4"/>
          <c:tx>
            <c:v>Margin %</c:v>
          </c:tx>
          <c:cat>
            <c:numRef>
              <c:f>'Marketing Insights'!$A$4:$A$38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'Marketing Insights'!$F$4:$F$38</c:f>
              <c:numCache>
                <c:formatCode>0.0%</c:formatCode>
                <c:ptCount val="35"/>
                <c:pt idx="0">
                  <c:v>0.53368912608432839</c:v>
                </c:pt>
                <c:pt idx="1">
                  <c:v>0.37523452157615683</c:v>
                </c:pt>
                <c:pt idx="2">
                  <c:v>0.12503125781440802</c:v>
                </c:pt>
                <c:pt idx="3">
                  <c:v>0.42918454935658906</c:v>
                </c:pt>
                <c:pt idx="4">
                  <c:v>0.45495905368530065</c:v>
                </c:pt>
                <c:pt idx="5">
                  <c:v>0.50125313283242956</c:v>
                </c:pt>
                <c:pt idx="6">
                  <c:v>0.30015007503760571</c:v>
                </c:pt>
                <c:pt idx="7">
                  <c:v>0.25012506253133993</c:v>
                </c:pt>
                <c:pt idx="8">
                  <c:v>0.25015634771740725</c:v>
                </c:pt>
                <c:pt idx="9">
                  <c:v>0.47641734159129773</c:v>
                </c:pt>
                <c:pt idx="10">
                  <c:v>0.12507817385871248</c:v>
                </c:pt>
                <c:pt idx="11">
                  <c:v>0.23094688221718543</c:v>
                </c:pt>
                <c:pt idx="12">
                  <c:v>0.26684456304211845</c:v>
                </c:pt>
                <c:pt idx="13">
                  <c:v>0.28585040495480368</c:v>
                </c:pt>
                <c:pt idx="14">
                  <c:v>0.33444816053531479</c:v>
                </c:pt>
                <c:pt idx="15">
                  <c:v>0.30030030030040883</c:v>
                </c:pt>
                <c:pt idx="16">
                  <c:v>0.70070070070055113</c:v>
                </c:pt>
                <c:pt idx="17">
                  <c:v>0.10005002501254243</c:v>
                </c:pt>
                <c:pt idx="18">
                  <c:v>0.55027513756874014</c:v>
                </c:pt>
                <c:pt idx="19">
                  <c:v>0.11123470522808709</c:v>
                </c:pt>
                <c:pt idx="20">
                  <c:v>0.19238168526358887</c:v>
                </c:pt>
                <c:pt idx="21">
                  <c:v>0.33388981636051407</c:v>
                </c:pt>
                <c:pt idx="22">
                  <c:v>0.50050050050046624</c:v>
                </c:pt>
                <c:pt idx="23">
                  <c:v>0.64025610244099085</c:v>
                </c:pt>
                <c:pt idx="24">
                  <c:v>9.0991810737067566E-2</c:v>
                </c:pt>
                <c:pt idx="25">
                  <c:v>0.63694267515922753</c:v>
                </c:pt>
                <c:pt idx="26">
                  <c:v>0.16006402561024219</c:v>
                </c:pt>
                <c:pt idx="27">
                  <c:v>0.200400801603136</c:v>
                </c:pt>
                <c:pt idx="28">
                  <c:v>0.25020850708922332</c:v>
                </c:pt>
                <c:pt idx="29">
                  <c:v>0.2001334222815048</c:v>
                </c:pt>
                <c:pt idx="30">
                  <c:v>0.30015007503752567</c:v>
                </c:pt>
                <c:pt idx="31">
                  <c:v>0.15396458814472022</c:v>
                </c:pt>
                <c:pt idx="32">
                  <c:v>0.23094688221709408</c:v>
                </c:pt>
                <c:pt idx="33">
                  <c:v>0.50062578222777088</c:v>
                </c:pt>
                <c:pt idx="34">
                  <c:v>0.20020020020020063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DA-4545-8F2C-0E2FC9EA4673}"/>
            </c:ext>
          </c:extLst>
        </c:ser>
        <c:ser>
          <c:idx val="5"/>
          <c:order val="5"/>
          <c:tx>
            <c:v>Cumulative Profit %</c:v>
          </c:tx>
          <c:cat>
            <c:numRef>
              <c:f>'Marketing Insights'!$A$4:$A$38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'Marketing Insights'!$G$4:$G$38</c:f>
              <c:numCache>
                <c:formatCode>0.0%</c:formatCode>
                <c:ptCount val="35"/>
                <c:pt idx="0">
                  <c:v>0.2080064693105107</c:v>
                </c:pt>
                <c:pt idx="1">
                  <c:v>0.29463962517460635</c:v>
                </c:pt>
                <c:pt idx="2">
                  <c:v>0.36904989973913987</c:v>
                </c:pt>
                <c:pt idx="3">
                  <c:v>0.43185512610895438</c:v>
                </c:pt>
                <c:pt idx="4">
                  <c:v>0.47858871971278732</c:v>
                </c:pt>
                <c:pt idx="5">
                  <c:v>0.52426003897829343</c:v>
                </c:pt>
                <c:pt idx="6">
                  <c:v>0.56078144926207563</c:v>
                </c:pt>
                <c:pt idx="7">
                  <c:v>0.59384423978999656</c:v>
                </c:pt>
                <c:pt idx="8">
                  <c:v>0.62532183997674162</c:v>
                </c:pt>
                <c:pt idx="9">
                  <c:v>0.65563552231436295</c:v>
                </c:pt>
                <c:pt idx="10">
                  <c:v>0.68582862754603913</c:v>
                </c:pt>
                <c:pt idx="11">
                  <c:v>0.71504291573379264</c:v>
                </c:pt>
                <c:pt idx="12">
                  <c:v>0.74395351902041562</c:v>
                </c:pt>
                <c:pt idx="13">
                  <c:v>0.77079637441583004</c:v>
                </c:pt>
                <c:pt idx="14">
                  <c:v>0.79648826652722238</c:v>
                </c:pt>
                <c:pt idx="15">
                  <c:v>0.8216031822390919</c:v>
                </c:pt>
                <c:pt idx="16">
                  <c:v>0.84436784089003847</c:v>
                </c:pt>
                <c:pt idx="17">
                  <c:v>0.86712402924841847</c:v>
                </c:pt>
                <c:pt idx="18">
                  <c:v>0.8821632828263074</c:v>
                </c:pt>
                <c:pt idx="19">
                  <c:v>0.89717264125396201</c:v>
                </c:pt>
                <c:pt idx="20">
                  <c:v>0.91180756292493148</c:v>
                </c:pt>
                <c:pt idx="21">
                  <c:v>0.92309746641093027</c:v>
                </c:pt>
                <c:pt idx="22">
                  <c:v>0.93381612340120113</c:v>
                </c:pt>
                <c:pt idx="23">
                  <c:v>0.94436711842390775</c:v>
                </c:pt>
                <c:pt idx="24">
                  <c:v>0.95389270979357643</c:v>
                </c:pt>
                <c:pt idx="25">
                  <c:v>0.96114377848291577</c:v>
                </c:pt>
                <c:pt idx="26">
                  <c:v>0.96741976702211174</c:v>
                </c:pt>
                <c:pt idx="27">
                  <c:v>0.97318155897727698</c:v>
                </c:pt>
                <c:pt idx="28">
                  <c:v>0.97887658509691888</c:v>
                </c:pt>
                <c:pt idx="29">
                  <c:v>0.98395352898546573</c:v>
                </c:pt>
                <c:pt idx="30">
                  <c:v>0.98901328316262782</c:v>
                </c:pt>
                <c:pt idx="31">
                  <c:v>0.99221007122768667</c:v>
                </c:pt>
                <c:pt idx="32">
                  <c:v>0.9950717844838689</c:v>
                </c:pt>
                <c:pt idx="33">
                  <c:v>0.99777231305503777</c:v>
                </c:pt>
                <c:pt idx="3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DA-4545-8F2C-0E2FC9EA4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6</xdr:col>
      <xdr:colOff>0</xdr:colOff>
      <xdr:row>49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6</xdr:col>
      <xdr:colOff>0</xdr:colOff>
      <xdr:row>67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17</xdr:col>
      <xdr:colOff>0</xdr:colOff>
      <xdr:row>48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SalesMonthlyTable" displayName="SalesMonthlyTable" ref="A3:F24">
  <tableColumns count="6">
    <tableColumn id="1" xr3:uid="{00000000-0010-0000-0000-000001000000}" name="Month"/>
    <tableColumn id="2" xr3:uid="{00000000-0010-0000-0000-000002000000}" name="Revenue"/>
    <tableColumn id="3" xr3:uid="{00000000-0010-0000-0000-000003000000}" name="Profit" dataDxfId="0"/>
    <tableColumn id="4" xr3:uid="{00000000-0010-0000-0000-000004000000}" name="Margin %"/>
    <tableColumn id="5" xr3:uid="{00000000-0010-0000-0000-000005000000}" name="Units"/>
    <tableColumn id="6" xr3:uid="{00000000-0010-0000-0000-000006000000}" name="Transac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tegoryTable" displayName="CategoryTable" ref="A2:F7">
  <tableColumns count="6">
    <tableColumn id="1" xr3:uid="{00000000-0010-0000-0100-000001000000}" name="Category"/>
    <tableColumn id="2" xr3:uid="{00000000-0010-0000-0100-000002000000}" name="Revenue"/>
    <tableColumn id="3" xr3:uid="{00000000-0010-0000-0100-000003000000}" name="Profit"/>
    <tableColumn id="4" xr3:uid="{00000000-0010-0000-0100-000004000000}" name="Margin %"/>
    <tableColumn id="5" xr3:uid="{00000000-0010-0000-0100-000005000000}" name="Units"/>
    <tableColumn id="6" xr3:uid="{00000000-0010-0000-0100-000006000000}" name="Transac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LocationTable" displayName="LocationTable" ref="A11:G15">
  <tableColumns count="7">
    <tableColumn id="1" xr3:uid="{00000000-0010-0000-0200-000001000000}" name="Location"/>
    <tableColumn id="2" xr3:uid="{00000000-0010-0000-0200-000002000000}" name="Stores"/>
    <tableColumn id="3" xr3:uid="{00000000-0010-0000-0200-000003000000}" name="Revenue"/>
    <tableColumn id="4" xr3:uid="{00000000-0010-0000-0200-000004000000}" name="Profit"/>
    <tableColumn id="5" xr3:uid="{00000000-0010-0000-0200-000005000000}" name="Margin %"/>
    <tableColumn id="6" xr3:uid="{00000000-0010-0000-0200-000006000000}" name="Revenue/Store"/>
    <tableColumn id="7" xr3:uid="{00000000-0010-0000-0200-000007000000}" name="Profit/St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MonthlyTable" displayName="MonthlyTable" ref="A19:F40">
  <tableColumns count="6">
    <tableColumn id="1" xr3:uid="{00000000-0010-0000-0300-000001000000}" name="Month"/>
    <tableColumn id="2" xr3:uid="{00000000-0010-0000-0300-000002000000}" name="Revenue"/>
    <tableColumn id="3" xr3:uid="{00000000-0010-0000-0300-000003000000}" name="Profit"/>
    <tableColumn id="4" xr3:uid="{00000000-0010-0000-0300-000004000000}" name="Margin %"/>
    <tableColumn id="5" xr3:uid="{00000000-0010-0000-0300-000005000000}" name="Units"/>
    <tableColumn id="6" xr3:uid="{00000000-0010-0000-0300-000006000000}" name="Transac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DayTable" displayName="DayTable" ref="A46:F53">
  <tableColumns count="6">
    <tableColumn id="1" xr3:uid="{00000000-0010-0000-0400-000001000000}" name="Day"/>
    <tableColumn id="2" xr3:uid="{00000000-0010-0000-0400-000002000000}" name="Revenue"/>
    <tableColumn id="3" xr3:uid="{00000000-0010-0000-0400-000003000000}" name="Profit"/>
    <tableColumn id="4" xr3:uid="{00000000-0010-0000-0400-000004000000}" name="Margin %"/>
    <tableColumn id="5" xr3:uid="{00000000-0010-0000-0400-000005000000}" name="Units"/>
    <tableColumn id="6" xr3:uid="{00000000-0010-0000-0400-000006000000}" name="Transac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opProductProfitTable" displayName="TopProductProfitTable" ref="A59:H69">
  <tableColumns count="8">
    <tableColumn id="1" xr3:uid="{00000000-0010-0000-0500-000001000000}" name="Product"/>
    <tableColumn id="2" xr3:uid="{00000000-0010-0000-0500-000002000000}" name="Category"/>
    <tableColumn id="3" xr3:uid="{00000000-0010-0000-0500-000003000000}" name="Revenue"/>
    <tableColumn id="4" xr3:uid="{00000000-0010-0000-0500-000004000000}" name="Profit"/>
    <tableColumn id="5" xr3:uid="{00000000-0010-0000-0500-000005000000}" name="Margin %"/>
    <tableColumn id="6" xr3:uid="{00000000-0010-0000-0500-000006000000}" name="Units"/>
    <tableColumn id="7" xr3:uid="{00000000-0010-0000-0500-000007000000}" name="Stock"/>
    <tableColumn id="8" xr3:uid="{00000000-0010-0000-0500-000008000000}" name="Stock Months Cov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opStoreProfitTable" displayName="TopStoreProfitTable" ref="A73:H83">
  <tableColumns count="8">
    <tableColumn id="1" xr3:uid="{00000000-0010-0000-0600-000001000000}" name="Store"/>
    <tableColumn id="2" xr3:uid="{00000000-0010-0000-0600-000002000000}" name="City"/>
    <tableColumn id="3" xr3:uid="{00000000-0010-0000-0600-000003000000}" name="Location"/>
    <tableColumn id="4" xr3:uid="{00000000-0010-0000-0600-000004000000}" name="Revenue"/>
    <tableColumn id="5" xr3:uid="{00000000-0010-0000-0600-000005000000}" name="Profit"/>
    <tableColumn id="6" xr3:uid="{00000000-0010-0000-0600-000006000000}" name="Margin %"/>
    <tableColumn id="7" xr3:uid="{00000000-0010-0000-0600-000007000000}" name="Units"/>
    <tableColumn id="8" xr3:uid="{00000000-0010-0000-0600-000008000000}" name="AOV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BottomStoreProfitTable" displayName="BottomStoreProfitTable" ref="A87:H97">
  <tableColumns count="8">
    <tableColumn id="1" xr3:uid="{00000000-0010-0000-0700-000001000000}" name="Store"/>
    <tableColumn id="2" xr3:uid="{00000000-0010-0000-0700-000002000000}" name="City"/>
    <tableColumn id="3" xr3:uid="{00000000-0010-0000-0700-000003000000}" name="Location"/>
    <tableColumn id="4" xr3:uid="{00000000-0010-0000-0700-000004000000}" name="Revenue"/>
    <tableColumn id="5" xr3:uid="{00000000-0010-0000-0700-000005000000}" name="Profit"/>
    <tableColumn id="6" xr3:uid="{00000000-0010-0000-0700-000006000000}" name="Margin %"/>
    <tableColumn id="7" xr3:uid="{00000000-0010-0000-0700-000007000000}" name="Units"/>
    <tableColumn id="8" xr3:uid="{00000000-0010-0000-0700-000008000000}" name="AOV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ParetoTable" displayName="ParetoTable" ref="A101:H136">
  <tableColumns count="8">
    <tableColumn id="1" xr3:uid="{00000000-0010-0000-0800-000001000000}" name="Rank"/>
    <tableColumn id="2" xr3:uid="{00000000-0010-0000-0800-000002000000}" name="Product"/>
    <tableColumn id="3" xr3:uid="{00000000-0010-0000-0800-000003000000}" name="Category"/>
    <tableColumn id="4" xr3:uid="{00000000-0010-0000-0800-000004000000}" name="Revenue"/>
    <tableColumn id="5" xr3:uid="{00000000-0010-0000-0800-000005000000}" name="Profit"/>
    <tableColumn id="6" xr3:uid="{00000000-0010-0000-0800-000006000000}" name="Margin %"/>
    <tableColumn id="7" xr3:uid="{00000000-0010-0000-0800-000007000000}" name="Cumulative Profit %"/>
    <tableColumn id="8" xr3:uid="{00000000-0010-0000-0800-000008000000}" name="Cumulative Revenue 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CorrelationTable" displayName="CorrelationTable" ref="A141:C148">
  <tableColumns count="3">
    <tableColumn id="1" xr3:uid="{00000000-0010-0000-0900-000001000000}" name="Relationship"/>
    <tableColumn id="2" xr3:uid="{00000000-0010-0000-0900-000002000000}" name="r"/>
    <tableColumn id="3" xr3:uid="{00000000-0010-0000-0900-000003000000}" name="Interpret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GrowthTable" displayName="GrowthTable" ref="A153:D157">
  <tableColumns count="4">
    <tableColumn id="1" xr3:uid="{00000000-0010-0000-0A00-000001000000}" name="KPI"/>
    <tableColumn id="2" xr3:uid="{00000000-0010-0000-0A00-000002000000}" name="2022 Jan-Sep"/>
    <tableColumn id="3" xr3:uid="{00000000-0010-0000-0A00-000003000000}" name="2023 Jan-Sep"/>
    <tableColumn id="4" xr3:uid="{00000000-0010-0000-0A00-000004000000}" name="Growth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F3" sqref="F1:F1048576"/>
    </sheetView>
  </sheetViews>
  <sheetFormatPr defaultRowHeight="14.25"/>
  <cols>
    <col min="1" max="1" width="92.875" customWidth="1"/>
    <col min="2" max="2" width="38.625" customWidth="1"/>
    <col min="3" max="3" width="31" customWidth="1"/>
    <col min="4" max="4" width="17" customWidth="1"/>
    <col min="5" max="5" width="15.375" customWidth="1"/>
    <col min="6" max="6" width="22.5" customWidth="1"/>
    <col min="8" max="8" width="14.75" customWidth="1"/>
    <col min="9" max="9" width="12.25" customWidth="1"/>
    <col min="10" max="10" width="10.375" customWidth="1"/>
  </cols>
  <sheetData>
    <row r="1" spans="1:12" ht="23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1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H4" s="1" t="s">
        <v>8</v>
      </c>
      <c r="I4" s="1" t="s">
        <v>9</v>
      </c>
      <c r="J4" s="1" t="s">
        <v>10</v>
      </c>
    </row>
    <row r="5" spans="1:12" ht="18">
      <c r="A5" s="9">
        <v>14444572.35016969</v>
      </c>
      <c r="B5" s="9">
        <v>4014029</v>
      </c>
      <c r="C5" s="10">
        <v>0.27789185464897787</v>
      </c>
      <c r="D5" s="11">
        <v>1090565</v>
      </c>
      <c r="E5" s="11">
        <v>829262</v>
      </c>
      <c r="F5" s="12">
        <v>17.418587069188856</v>
      </c>
      <c r="H5" s="2" t="s">
        <v>11</v>
      </c>
      <c r="I5" s="2">
        <v>5093241.0000260454</v>
      </c>
      <c r="J5" s="2">
        <v>1079527</v>
      </c>
    </row>
    <row r="6" spans="1:12">
      <c r="H6" s="2" t="s">
        <v>12</v>
      </c>
      <c r="I6" s="2">
        <v>2705364.2600071752</v>
      </c>
      <c r="J6" s="2">
        <v>753354</v>
      </c>
    </row>
    <row r="7" spans="1:12" ht="15">
      <c r="A7" s="1" t="s">
        <v>13</v>
      </c>
      <c r="B7" s="1" t="s">
        <v>14</v>
      </c>
      <c r="C7" s="1" t="s">
        <v>15</v>
      </c>
      <c r="H7" s="2" t="s">
        <v>16</v>
      </c>
      <c r="I7" s="2">
        <v>2246771.2500004987</v>
      </c>
      <c r="J7" s="2">
        <v>1001437</v>
      </c>
    </row>
    <row r="8" spans="1:12">
      <c r="A8" t="s">
        <v>17</v>
      </c>
      <c r="B8" t="s">
        <v>18</v>
      </c>
      <c r="C8" t="s">
        <v>19</v>
      </c>
      <c r="H8" s="2" t="s">
        <v>20</v>
      </c>
      <c r="I8" s="2">
        <v>2226836.2700005835</v>
      </c>
      <c r="J8" s="2">
        <v>673993</v>
      </c>
    </row>
    <row r="9" spans="1:12">
      <c r="A9" t="s">
        <v>21</v>
      </c>
      <c r="B9" t="s">
        <v>22</v>
      </c>
      <c r="C9" t="s">
        <v>23</v>
      </c>
      <c r="H9" s="2" t="s">
        <v>24</v>
      </c>
      <c r="I9" s="2">
        <v>2172359.5699995877</v>
      </c>
      <c r="J9" s="2">
        <v>505718</v>
      </c>
    </row>
    <row r="10" spans="1:12">
      <c r="A10" t="s">
        <v>25</v>
      </c>
      <c r="B10" t="s">
        <v>26</v>
      </c>
      <c r="C10" t="s">
        <v>27</v>
      </c>
      <c r="H10" s="2"/>
      <c r="I10" s="2"/>
      <c r="J10" s="2"/>
    </row>
    <row r="11" spans="1:12">
      <c r="A11" t="s">
        <v>28</v>
      </c>
      <c r="B11" t="s">
        <v>29</v>
      </c>
      <c r="C11" t="s">
        <v>30</v>
      </c>
      <c r="H11" s="2"/>
      <c r="I11" s="2"/>
      <c r="J11" s="2"/>
    </row>
    <row r="12" spans="1:12" ht="30">
      <c r="A12" t="s">
        <v>31</v>
      </c>
      <c r="B12" t="s">
        <v>32</v>
      </c>
      <c r="C12" t="s">
        <v>33</v>
      </c>
      <c r="H12" s="3" t="s">
        <v>34</v>
      </c>
      <c r="I12" s="3" t="s">
        <v>35</v>
      </c>
      <c r="J12" s="3" t="s">
        <v>36</v>
      </c>
    </row>
    <row r="13" spans="1:12">
      <c r="A13" t="s">
        <v>37</v>
      </c>
      <c r="B13" t="s">
        <v>38</v>
      </c>
      <c r="C13" t="s">
        <v>39</v>
      </c>
      <c r="H13" s="2" t="s">
        <v>40</v>
      </c>
      <c r="I13" s="2">
        <v>429907.52666642767</v>
      </c>
      <c r="J13" s="2">
        <v>126016.33333333333</v>
      </c>
    </row>
    <row r="14" spans="1:12">
      <c r="H14" s="2" t="s">
        <v>41</v>
      </c>
      <c r="I14" s="2">
        <v>283434.35414037789</v>
      </c>
      <c r="J14" s="2">
        <v>77542.344827586203</v>
      </c>
    </row>
    <row r="15" spans="1:12">
      <c r="H15" s="2" t="s">
        <v>42</v>
      </c>
      <c r="I15" s="2">
        <v>276018.99666649662</v>
      </c>
      <c r="J15" s="2">
        <v>76731.333333333328</v>
      </c>
    </row>
    <row r="16" spans="1:12">
      <c r="H16" s="2" t="s">
        <v>43</v>
      </c>
      <c r="I16" s="2">
        <v>273261.62666772917</v>
      </c>
      <c r="J16" s="2">
        <v>77238.666666666672</v>
      </c>
    </row>
    <row r="17" spans="8:10">
      <c r="H17" s="2"/>
      <c r="I17" s="2"/>
      <c r="J17" s="2"/>
    </row>
    <row r="18" spans="8:10">
      <c r="H18" s="2"/>
      <c r="I18" s="2"/>
      <c r="J18" s="2"/>
    </row>
    <row r="19" spans="8:10" ht="15">
      <c r="H19" s="3" t="s">
        <v>44</v>
      </c>
      <c r="I19" s="3" t="s">
        <v>9</v>
      </c>
      <c r="J19" s="3" t="s">
        <v>10</v>
      </c>
    </row>
    <row r="20" spans="8:10">
      <c r="H20" s="2" t="s">
        <v>45</v>
      </c>
      <c r="I20" s="2">
        <v>1531130.0099990857</v>
      </c>
      <c r="J20" s="2">
        <v>439913</v>
      </c>
    </row>
    <row r="21" spans="8:10">
      <c r="H21" s="2" t="s">
        <v>46</v>
      </c>
      <c r="I21" s="2">
        <v>1637492.1899990255</v>
      </c>
      <c r="J21" s="2">
        <v>460857</v>
      </c>
    </row>
    <row r="22" spans="8:10">
      <c r="H22" s="2" t="s">
        <v>47</v>
      </c>
      <c r="I22" s="2">
        <v>1732068.589998943</v>
      </c>
      <c r="J22" s="2">
        <v>486266</v>
      </c>
    </row>
    <row r="23" spans="8:10">
      <c r="H23" s="2" t="s">
        <v>48</v>
      </c>
      <c r="I23" s="2">
        <v>2183641.7899997924</v>
      </c>
      <c r="J23" s="2">
        <v>609542</v>
      </c>
    </row>
    <row r="24" spans="8:10">
      <c r="H24" s="2" t="s">
        <v>49</v>
      </c>
      <c r="I24" s="2">
        <v>2750302.2600064389</v>
      </c>
      <c r="J24" s="2">
        <v>741614</v>
      </c>
    </row>
    <row r="25" spans="8:10">
      <c r="H25" s="2" t="s">
        <v>50</v>
      </c>
      <c r="I25" s="2">
        <v>2860193.5100076487</v>
      </c>
      <c r="J25" s="2">
        <v>770739</v>
      </c>
    </row>
    <row r="26" spans="8:10">
      <c r="H26" t="s">
        <v>51</v>
      </c>
      <c r="I26">
        <v>1749743.999998946</v>
      </c>
      <c r="J26">
        <v>505098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H22" sqref="H22"/>
    </sheetView>
  </sheetViews>
  <sheetFormatPr defaultRowHeight="14.25"/>
  <cols>
    <col min="1" max="1" width="40" customWidth="1"/>
    <col min="2" max="2" width="15.75" customWidth="1"/>
    <col min="3" max="3" width="18.375" style="20" customWidth="1"/>
    <col min="4" max="4" width="10.375" customWidth="1"/>
    <col min="5" max="5" width="6.875" customWidth="1"/>
    <col min="6" max="6" width="12.75" customWidth="1"/>
    <col min="8" max="8" width="14.75" customWidth="1"/>
    <col min="9" max="9" width="9.375" customWidth="1"/>
    <col min="10" max="10" width="10.125" customWidth="1"/>
  </cols>
  <sheetData>
    <row r="1" spans="1:12" ht="23.25">
      <c r="A1" s="17" t="s">
        <v>52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2" ht="30">
      <c r="A3" s="1" t="s">
        <v>53</v>
      </c>
      <c r="B3" s="1" t="s">
        <v>9</v>
      </c>
      <c r="C3" s="1" t="s">
        <v>10</v>
      </c>
      <c r="D3" s="1" t="s">
        <v>54</v>
      </c>
      <c r="E3" s="1" t="s">
        <v>55</v>
      </c>
      <c r="F3" s="1" t="s">
        <v>6</v>
      </c>
      <c r="H3" s="1" t="s">
        <v>44</v>
      </c>
      <c r="I3" s="1" t="s">
        <v>9</v>
      </c>
      <c r="J3" s="1" t="s">
        <v>6</v>
      </c>
    </row>
    <row r="4" spans="1:12">
      <c r="A4" t="s">
        <v>56</v>
      </c>
      <c r="B4" s="2">
        <v>542554.90999979246</v>
      </c>
      <c r="C4" s="21">
        <v>167126</v>
      </c>
      <c r="D4" s="4">
        <v>0.30803518117652634</v>
      </c>
      <c r="E4" s="6">
        <v>38009</v>
      </c>
      <c r="F4" s="6">
        <v>29547</v>
      </c>
      <c r="H4" t="s">
        <v>45</v>
      </c>
      <c r="I4">
        <v>1531130.0099990857</v>
      </c>
      <c r="J4">
        <v>90332</v>
      </c>
    </row>
    <row r="5" spans="1:12">
      <c r="A5" t="s">
        <v>57</v>
      </c>
      <c r="B5" s="2">
        <v>541351.64999980922</v>
      </c>
      <c r="C5" s="21">
        <v>161861</v>
      </c>
      <c r="D5" s="4">
        <v>0.2989941935155403</v>
      </c>
      <c r="E5" s="6">
        <v>36935</v>
      </c>
      <c r="F5" s="6">
        <v>28651</v>
      </c>
      <c r="H5" t="s">
        <v>46</v>
      </c>
      <c r="I5">
        <v>1637492.1899990255</v>
      </c>
      <c r="J5">
        <v>94904</v>
      </c>
    </row>
    <row r="6" spans="1:12">
      <c r="A6" t="s">
        <v>58</v>
      </c>
      <c r="B6" s="2">
        <v>589485.18999977398</v>
      </c>
      <c r="C6" s="21">
        <v>173992</v>
      </c>
      <c r="D6" s="4">
        <v>0.29515923886071965</v>
      </c>
      <c r="E6" s="6">
        <v>39981</v>
      </c>
      <c r="F6" s="6">
        <v>31376</v>
      </c>
      <c r="H6" t="s">
        <v>47</v>
      </c>
      <c r="I6">
        <v>1732068.589998943</v>
      </c>
      <c r="J6">
        <v>100361</v>
      </c>
    </row>
    <row r="7" spans="1:12">
      <c r="A7" t="s">
        <v>59</v>
      </c>
      <c r="B7" s="2">
        <v>681072.97999971453</v>
      </c>
      <c r="C7" s="21">
        <v>190099</v>
      </c>
      <c r="D7" s="4">
        <v>0.27911693105205798</v>
      </c>
      <c r="E7" s="6">
        <v>47102</v>
      </c>
      <c r="F7" s="6">
        <v>35716</v>
      </c>
      <c r="H7" t="s">
        <v>48</v>
      </c>
      <c r="I7">
        <v>2183641.7899997924</v>
      </c>
      <c r="J7">
        <v>125053</v>
      </c>
    </row>
    <row r="8" spans="1:12">
      <c r="A8" t="s">
        <v>60</v>
      </c>
      <c r="B8" s="2">
        <v>672369.89999970701</v>
      </c>
      <c r="C8" s="21">
        <v>186894</v>
      </c>
      <c r="D8" s="4">
        <v>0.27796306765082945</v>
      </c>
      <c r="E8" s="6">
        <v>46910</v>
      </c>
      <c r="F8" s="6">
        <v>37064</v>
      </c>
      <c r="H8" t="s">
        <v>49</v>
      </c>
      <c r="I8">
        <v>2750302.2600064389</v>
      </c>
      <c r="J8">
        <v>155088</v>
      </c>
    </row>
    <row r="9" spans="1:12">
      <c r="A9" t="s">
        <v>61</v>
      </c>
      <c r="B9" s="2">
        <v>661980.21999971836</v>
      </c>
      <c r="C9" s="21">
        <v>189815</v>
      </c>
      <c r="D9" s="4">
        <v>0.2867381747449807</v>
      </c>
      <c r="E9" s="6">
        <v>47178</v>
      </c>
      <c r="F9" s="6">
        <v>35515</v>
      </c>
      <c r="H9" t="s">
        <v>50</v>
      </c>
      <c r="I9">
        <v>2860193.5100076487</v>
      </c>
      <c r="J9">
        <v>162164</v>
      </c>
    </row>
    <row r="10" spans="1:12">
      <c r="A10" t="s">
        <v>62</v>
      </c>
      <c r="B10" s="2">
        <v>556034.22999975504</v>
      </c>
      <c r="C10" s="21">
        <v>176922</v>
      </c>
      <c r="D10" s="4">
        <v>0.31818544696443946</v>
      </c>
      <c r="E10" s="6">
        <v>46177</v>
      </c>
      <c r="F10" s="6">
        <v>34915</v>
      </c>
      <c r="H10" t="s">
        <v>51</v>
      </c>
      <c r="I10">
        <v>1749743.999998946</v>
      </c>
      <c r="J10">
        <v>101360</v>
      </c>
    </row>
    <row r="11" spans="1:12">
      <c r="A11" t="s">
        <v>63</v>
      </c>
      <c r="B11" s="2">
        <v>489422.72999980481</v>
      </c>
      <c r="C11" s="21">
        <v>158931</v>
      </c>
      <c r="D11" s="4">
        <v>0.32473154648960295</v>
      </c>
      <c r="E11" s="6">
        <v>39927</v>
      </c>
      <c r="F11" s="6">
        <v>31304</v>
      </c>
    </row>
    <row r="12" spans="1:12" ht="15">
      <c r="A12" t="s">
        <v>64</v>
      </c>
      <c r="B12" s="2">
        <v>585844.0399997551</v>
      </c>
      <c r="C12" s="21">
        <v>166397</v>
      </c>
      <c r="D12" s="4">
        <v>0.28402951748057309</v>
      </c>
      <c r="E12" s="6">
        <v>42196</v>
      </c>
      <c r="F12" s="6">
        <v>32967</v>
      </c>
      <c r="H12" s="1" t="s">
        <v>8</v>
      </c>
      <c r="I12" s="1" t="s">
        <v>9</v>
      </c>
      <c r="J12" s="1" t="s">
        <v>55</v>
      </c>
    </row>
    <row r="13" spans="1:12">
      <c r="A13" t="s">
        <v>65</v>
      </c>
      <c r="B13" s="2">
        <v>623874.38999972469</v>
      </c>
      <c r="C13" s="21">
        <v>178799</v>
      </c>
      <c r="D13" s="4">
        <v>0.28659454990623817</v>
      </c>
      <c r="E13" s="6">
        <v>47861</v>
      </c>
      <c r="F13" s="6">
        <v>36451</v>
      </c>
      <c r="H13" t="s">
        <v>11</v>
      </c>
      <c r="I13">
        <v>5093241.0000260454</v>
      </c>
      <c r="J13">
        <v>267200</v>
      </c>
    </row>
    <row r="14" spans="1:12">
      <c r="A14" t="s">
        <v>66</v>
      </c>
      <c r="B14" s="2">
        <v>661304.14999970119</v>
      </c>
      <c r="C14" s="21">
        <v>192873</v>
      </c>
      <c r="D14" s="4">
        <v>0.29165551131062334</v>
      </c>
      <c r="E14" s="6">
        <v>51185</v>
      </c>
      <c r="F14" s="6">
        <v>38959</v>
      </c>
      <c r="H14" t="s">
        <v>12</v>
      </c>
      <c r="I14">
        <v>2705364.2600071752</v>
      </c>
      <c r="J14">
        <v>325574</v>
      </c>
    </row>
    <row r="15" spans="1:12">
      <c r="A15" t="s">
        <v>67</v>
      </c>
      <c r="B15" s="2">
        <v>877203.68999955908</v>
      </c>
      <c r="C15" s="21">
        <v>246078</v>
      </c>
      <c r="D15" s="4">
        <v>0.28052549573762475</v>
      </c>
      <c r="E15" s="6">
        <v>66031</v>
      </c>
      <c r="F15" s="6">
        <v>48380</v>
      </c>
      <c r="H15" t="s">
        <v>16</v>
      </c>
      <c r="I15">
        <v>2246771.2500004987</v>
      </c>
      <c r="J15">
        <v>134075</v>
      </c>
    </row>
    <row r="16" spans="1:12">
      <c r="A16" t="s">
        <v>68</v>
      </c>
      <c r="B16" s="2">
        <v>747196.21999964339</v>
      </c>
      <c r="C16" s="21">
        <v>205074</v>
      </c>
      <c r="D16" s="4">
        <v>0.27445802656777074</v>
      </c>
      <c r="E16" s="6">
        <v>56478</v>
      </c>
      <c r="F16" s="6">
        <v>42418</v>
      </c>
      <c r="H16" t="s">
        <v>20</v>
      </c>
      <c r="I16">
        <v>2226836.2700005835</v>
      </c>
      <c r="J16">
        <v>194673</v>
      </c>
    </row>
    <row r="17" spans="1:10">
      <c r="A17" t="s">
        <v>69</v>
      </c>
      <c r="B17" s="2">
        <v>722632.18999966606</v>
      </c>
      <c r="C17" s="21">
        <v>189314</v>
      </c>
      <c r="D17" s="4">
        <v>0.26197836550858256</v>
      </c>
      <c r="E17" s="6">
        <v>54581</v>
      </c>
      <c r="F17" s="6">
        <v>40433</v>
      </c>
      <c r="H17" t="s">
        <v>24</v>
      </c>
      <c r="I17">
        <v>2172359.5699995877</v>
      </c>
      <c r="J17">
        <v>169043</v>
      </c>
    </row>
    <row r="18" spans="1:10">
      <c r="A18" t="s">
        <v>70</v>
      </c>
      <c r="B18" s="2">
        <v>883515.63999953889</v>
      </c>
      <c r="C18" s="21">
        <v>231909</v>
      </c>
      <c r="D18" s="4">
        <v>0.26248431776501552</v>
      </c>
      <c r="E18" s="6">
        <v>69336</v>
      </c>
      <c r="F18" s="6">
        <v>49818</v>
      </c>
    </row>
    <row r="19" spans="1:10">
      <c r="A19" t="s">
        <v>71</v>
      </c>
      <c r="B19" s="2">
        <v>827691.06999958667</v>
      </c>
      <c r="C19" s="21">
        <v>215096</v>
      </c>
      <c r="D19" s="4">
        <v>0.25987473804701966</v>
      </c>
      <c r="E19" s="6">
        <v>65593</v>
      </c>
      <c r="F19" s="6">
        <v>47768</v>
      </c>
    </row>
    <row r="20" spans="1:10">
      <c r="A20" t="s">
        <v>72</v>
      </c>
      <c r="B20" s="2">
        <v>825319.4899995788</v>
      </c>
      <c r="C20" s="21">
        <v>210347</v>
      </c>
      <c r="D20" s="4">
        <v>0.2548673605176916</v>
      </c>
      <c r="E20" s="6">
        <v>63851</v>
      </c>
      <c r="F20" s="6">
        <v>48642</v>
      </c>
    </row>
    <row r="21" spans="1:10">
      <c r="A21" t="s">
        <v>73</v>
      </c>
      <c r="B21" s="2">
        <v>808299.24999957345</v>
      </c>
      <c r="C21" s="21">
        <v>207212</v>
      </c>
      <c r="D21" s="4">
        <v>0.25635555148679073</v>
      </c>
      <c r="E21" s="6">
        <v>64275</v>
      </c>
      <c r="F21" s="6">
        <v>48421</v>
      </c>
    </row>
    <row r="22" spans="1:10">
      <c r="A22" t="s">
        <v>74</v>
      </c>
      <c r="B22" s="2">
        <v>828348.85999957623</v>
      </c>
      <c r="C22" s="21">
        <v>209807</v>
      </c>
      <c r="D22" s="4">
        <v>0.25328338111083698</v>
      </c>
      <c r="E22" s="6">
        <v>63614</v>
      </c>
      <c r="F22" s="6">
        <v>48508</v>
      </c>
    </row>
    <row r="23" spans="1:10">
      <c r="A23" t="s">
        <v>75</v>
      </c>
      <c r="B23" s="2">
        <v>660877.06999968691</v>
      </c>
      <c r="C23" s="21">
        <v>175038</v>
      </c>
      <c r="D23" s="4">
        <v>0.26485712388248384</v>
      </c>
      <c r="E23" s="6">
        <v>51193</v>
      </c>
      <c r="F23" s="6">
        <v>40579</v>
      </c>
    </row>
    <row r="24" spans="1:10">
      <c r="A24" t="s">
        <v>76</v>
      </c>
      <c r="B24" s="2">
        <v>658194.47999967483</v>
      </c>
      <c r="C24" s="21">
        <v>180445</v>
      </c>
      <c r="D24" s="4">
        <v>0.2741514939476386</v>
      </c>
      <c r="E24" s="6">
        <v>52152</v>
      </c>
      <c r="F24" s="6">
        <v>41830</v>
      </c>
    </row>
    <row r="25" spans="1:10">
      <c r="B25" s="2"/>
      <c r="C25" s="19"/>
      <c r="D25" s="4"/>
      <c r="E25" s="6"/>
      <c r="F25" s="6"/>
    </row>
    <row r="26" spans="1:10">
      <c r="B26" s="2"/>
      <c r="C26" s="19"/>
      <c r="D26" s="4"/>
      <c r="E26" s="6"/>
      <c r="F26" s="6"/>
    </row>
    <row r="27" spans="1:10">
      <c r="B27" s="2"/>
      <c r="C27" s="19"/>
      <c r="D27" s="4"/>
      <c r="E27" s="6"/>
      <c r="F27" s="6"/>
    </row>
    <row r="28" spans="1:10">
      <c r="B28" s="2"/>
      <c r="C28" s="19"/>
      <c r="D28" s="4"/>
      <c r="E28" s="6"/>
      <c r="F28" s="6"/>
    </row>
    <row r="29" spans="1:10">
      <c r="B29" s="2"/>
      <c r="C29" s="19"/>
      <c r="D29" s="4"/>
      <c r="E29" s="6"/>
      <c r="F29" s="6"/>
    </row>
    <row r="30" spans="1:10">
      <c r="B30" s="2"/>
      <c r="C30" s="19"/>
      <c r="D30" s="4"/>
      <c r="E30" s="6"/>
      <c r="F30" s="6"/>
    </row>
    <row r="31" spans="1:10">
      <c r="B31" s="2"/>
      <c r="C31" s="19"/>
      <c r="D31" s="4"/>
      <c r="E31" s="6"/>
      <c r="F31" s="6"/>
    </row>
    <row r="32" spans="1:10">
      <c r="B32" s="2"/>
      <c r="C32" s="19"/>
      <c r="D32" s="4"/>
      <c r="E32" s="6"/>
      <c r="F32" s="6"/>
    </row>
    <row r="33" spans="2:6">
      <c r="B33" s="2"/>
      <c r="C33" s="19"/>
      <c r="D33" s="4"/>
      <c r="E33" s="6"/>
      <c r="F33" s="6"/>
    </row>
    <row r="34" spans="2:6">
      <c r="B34" s="2"/>
      <c r="C34" s="19"/>
      <c r="D34" s="4"/>
      <c r="E34" s="6"/>
      <c r="F34" s="6"/>
    </row>
    <row r="35" spans="2:6">
      <c r="B35" s="2"/>
      <c r="C35" s="19"/>
      <c r="D35" s="4"/>
      <c r="E35" s="6"/>
      <c r="F35" s="6"/>
    </row>
    <row r="36" spans="2:6">
      <c r="B36" s="2"/>
      <c r="C36" s="19"/>
      <c r="D36" s="4"/>
      <c r="E36" s="6"/>
      <c r="F36" s="6"/>
    </row>
    <row r="37" spans="2:6">
      <c r="B37" s="2"/>
      <c r="C37" s="19"/>
      <c r="D37" s="4"/>
      <c r="E37" s="6"/>
      <c r="F37" s="6"/>
    </row>
    <row r="38" spans="2:6">
      <c r="B38" s="2"/>
      <c r="C38" s="19"/>
      <c r="D38" s="4"/>
      <c r="E38" s="6"/>
      <c r="F38" s="6"/>
    </row>
    <row r="39" spans="2:6">
      <c r="B39" s="2"/>
      <c r="C39" s="19"/>
      <c r="D39" s="4"/>
      <c r="E39" s="6"/>
      <c r="F39" s="6"/>
    </row>
    <row r="40" spans="2:6">
      <c r="B40" s="2"/>
      <c r="C40" s="19"/>
      <c r="D40" s="4"/>
      <c r="E40" s="6"/>
      <c r="F40" s="6"/>
    </row>
    <row r="41" spans="2:6">
      <c r="B41" s="2"/>
      <c r="C41" s="19"/>
      <c r="D41" s="4"/>
      <c r="E41" s="6"/>
      <c r="F41" s="6"/>
    </row>
    <row r="42" spans="2:6">
      <c r="B42" s="2"/>
      <c r="C42" s="19"/>
      <c r="D42" s="4"/>
      <c r="E42" s="6"/>
      <c r="F42" s="6"/>
    </row>
    <row r="43" spans="2:6">
      <c r="B43" s="2"/>
      <c r="C43" s="19"/>
      <c r="D43" s="4"/>
      <c r="E43" s="6"/>
      <c r="F43" s="6"/>
    </row>
    <row r="44" spans="2:6">
      <c r="B44" s="2"/>
      <c r="C44" s="19"/>
      <c r="D44" s="4"/>
      <c r="E44" s="6"/>
      <c r="F44" s="6"/>
    </row>
    <row r="45" spans="2:6">
      <c r="B45" s="2"/>
      <c r="C45" s="19"/>
      <c r="D45" s="4"/>
      <c r="E45" s="6"/>
      <c r="F45" s="6"/>
    </row>
    <row r="46" spans="2:6">
      <c r="B46" s="2"/>
      <c r="C46" s="19"/>
      <c r="D46" s="4"/>
      <c r="E46" s="6"/>
      <c r="F46" s="6"/>
    </row>
    <row r="47" spans="2:6">
      <c r="B47" s="2"/>
      <c r="C47" s="19"/>
      <c r="D47" s="4"/>
      <c r="E47" s="6"/>
      <c r="F47" s="6"/>
    </row>
    <row r="48" spans="2:6">
      <c r="B48" s="2"/>
      <c r="C48" s="19"/>
      <c r="D48" s="4"/>
      <c r="E48" s="6"/>
      <c r="F48" s="6"/>
    </row>
    <row r="49" spans="2:6">
      <c r="B49" s="2"/>
      <c r="C49" s="19"/>
      <c r="D49" s="4"/>
      <c r="E49" s="6"/>
      <c r="F49" s="6"/>
    </row>
    <row r="50" spans="2:6">
      <c r="B50" s="2"/>
      <c r="C50" s="19"/>
      <c r="D50" s="4"/>
      <c r="E50" s="6"/>
      <c r="F50" s="6"/>
    </row>
    <row r="51" spans="2:6">
      <c r="B51" s="2"/>
      <c r="C51" s="19"/>
      <c r="D51" s="4"/>
      <c r="E51" s="6"/>
      <c r="F51" s="6"/>
    </row>
    <row r="52" spans="2:6">
      <c r="B52" s="2"/>
      <c r="C52" s="19"/>
      <c r="D52" s="4"/>
      <c r="E52" s="6"/>
      <c r="F52" s="6"/>
    </row>
    <row r="53" spans="2:6">
      <c r="B53" s="2"/>
      <c r="C53" s="19"/>
      <c r="D53" s="4"/>
      <c r="E53" s="6"/>
      <c r="F53" s="6"/>
    </row>
    <row r="54" spans="2:6">
      <c r="B54" s="2"/>
      <c r="C54" s="19"/>
      <c r="D54" s="4"/>
      <c r="E54" s="6"/>
      <c r="F54" s="6"/>
    </row>
    <row r="55" spans="2:6">
      <c r="B55" s="2"/>
      <c r="C55" s="19"/>
      <c r="D55" s="4"/>
      <c r="E55" s="6"/>
      <c r="F55" s="6"/>
    </row>
    <row r="56" spans="2:6">
      <c r="B56" s="2"/>
      <c r="C56" s="19"/>
      <c r="D56" s="4"/>
      <c r="E56" s="6"/>
      <c r="F56" s="6"/>
    </row>
    <row r="57" spans="2:6">
      <c r="B57" s="2"/>
      <c r="C57" s="19"/>
      <c r="D57" s="4"/>
      <c r="E57" s="6"/>
      <c r="F57" s="6"/>
    </row>
    <row r="58" spans="2:6">
      <c r="B58" s="2"/>
      <c r="C58" s="19"/>
      <c r="D58" s="4"/>
      <c r="E58" s="6"/>
      <c r="F58" s="6"/>
    </row>
    <row r="59" spans="2:6">
      <c r="B59" s="2"/>
      <c r="C59" s="19"/>
      <c r="D59" s="4"/>
      <c r="E59" s="6"/>
      <c r="F59" s="6"/>
    </row>
    <row r="60" spans="2:6">
      <c r="B60" s="2"/>
      <c r="C60" s="19"/>
      <c r="D60" s="4"/>
      <c r="E60" s="6"/>
      <c r="F60" s="6"/>
    </row>
    <row r="61" spans="2:6">
      <c r="B61" s="2"/>
      <c r="C61" s="19"/>
      <c r="D61" s="4"/>
      <c r="E61" s="6"/>
      <c r="F61" s="6"/>
    </row>
    <row r="62" spans="2:6">
      <c r="B62" s="2"/>
      <c r="C62" s="19"/>
      <c r="D62" s="4"/>
      <c r="E62" s="6"/>
      <c r="F62" s="6"/>
    </row>
    <row r="63" spans="2:6">
      <c r="B63" s="2"/>
      <c r="C63" s="19"/>
      <c r="D63" s="4"/>
      <c r="E63" s="6"/>
      <c r="F63" s="6"/>
    </row>
    <row r="64" spans="2:6">
      <c r="B64" s="2"/>
      <c r="C64" s="19"/>
      <c r="D64" s="4"/>
      <c r="E64" s="6"/>
      <c r="F64" s="6"/>
    </row>
    <row r="65" spans="2:6">
      <c r="B65" s="2"/>
      <c r="C65" s="19"/>
      <c r="D65" s="4"/>
      <c r="E65" s="6"/>
      <c r="F65" s="6"/>
    </row>
    <row r="66" spans="2:6">
      <c r="B66" s="2"/>
      <c r="C66" s="19"/>
      <c r="D66" s="4"/>
      <c r="E66" s="6"/>
      <c r="F66" s="6"/>
    </row>
    <row r="67" spans="2:6">
      <c r="B67" s="2"/>
      <c r="C67" s="19"/>
      <c r="D67" s="4"/>
      <c r="E67" s="6"/>
      <c r="F67" s="6"/>
    </row>
    <row r="68" spans="2:6">
      <c r="B68" s="2"/>
      <c r="C68" s="19"/>
      <c r="D68" s="4"/>
      <c r="E68" s="6"/>
      <c r="F68" s="6"/>
    </row>
    <row r="69" spans="2:6">
      <c r="B69" s="2"/>
      <c r="C69" s="19"/>
      <c r="D69" s="4"/>
      <c r="E69" s="6"/>
      <c r="F69" s="6"/>
    </row>
    <row r="70" spans="2:6">
      <c r="B70" s="2"/>
      <c r="C70" s="19"/>
      <c r="D70" s="4"/>
      <c r="E70" s="6"/>
      <c r="F70" s="6"/>
    </row>
    <row r="71" spans="2:6">
      <c r="B71" s="2"/>
      <c r="C71" s="19"/>
      <c r="D71" s="4"/>
      <c r="E71" s="6"/>
      <c r="F71" s="6"/>
    </row>
    <row r="72" spans="2:6">
      <c r="B72" s="2"/>
      <c r="C72" s="19"/>
      <c r="D72" s="4"/>
      <c r="E72" s="6"/>
      <c r="F72" s="6"/>
    </row>
    <row r="73" spans="2:6">
      <c r="B73" s="2"/>
      <c r="C73" s="19"/>
      <c r="D73" s="4"/>
      <c r="E73" s="6"/>
      <c r="F73" s="6"/>
    </row>
    <row r="74" spans="2:6">
      <c r="B74" s="2"/>
      <c r="C74" s="19"/>
      <c r="D74" s="4"/>
      <c r="E74" s="6"/>
      <c r="F74" s="6"/>
    </row>
    <row r="75" spans="2:6">
      <c r="B75" s="2"/>
      <c r="C75" s="19"/>
      <c r="D75" s="4"/>
      <c r="E75" s="6"/>
      <c r="F75" s="6"/>
    </row>
    <row r="76" spans="2:6">
      <c r="B76" s="2"/>
      <c r="C76" s="19"/>
      <c r="D76" s="4"/>
      <c r="E76" s="6"/>
      <c r="F76" s="6"/>
    </row>
    <row r="77" spans="2:6">
      <c r="B77" s="2"/>
      <c r="C77" s="19"/>
      <c r="D77" s="4"/>
      <c r="E77" s="6"/>
      <c r="F77" s="6"/>
    </row>
    <row r="78" spans="2:6">
      <c r="B78" s="2"/>
      <c r="C78" s="19"/>
      <c r="D78" s="4"/>
      <c r="E78" s="6"/>
      <c r="F78" s="6"/>
    </row>
    <row r="79" spans="2:6">
      <c r="B79" s="2"/>
      <c r="C79" s="19"/>
      <c r="D79" s="4"/>
      <c r="E79" s="6"/>
      <c r="F79" s="6"/>
    </row>
    <row r="80" spans="2:6">
      <c r="B80" s="2"/>
      <c r="C80" s="19"/>
      <c r="D80" s="4"/>
      <c r="E80" s="6"/>
      <c r="F80" s="6"/>
    </row>
    <row r="81" spans="2:6">
      <c r="B81" s="2"/>
      <c r="C81" s="19"/>
      <c r="D81" s="4"/>
      <c r="E81" s="6"/>
      <c r="F81" s="6"/>
    </row>
    <row r="82" spans="2:6">
      <c r="B82" s="2"/>
      <c r="C82" s="19"/>
      <c r="D82" s="4"/>
      <c r="E82" s="6"/>
      <c r="F82" s="6"/>
    </row>
    <row r="83" spans="2:6">
      <c r="B83" s="2"/>
      <c r="C83" s="19"/>
      <c r="D83" s="4"/>
      <c r="E83" s="6"/>
      <c r="F83" s="6"/>
    </row>
    <row r="84" spans="2:6">
      <c r="B84" s="2"/>
      <c r="C84" s="19"/>
      <c r="D84" s="4"/>
      <c r="E84" s="6"/>
      <c r="F84" s="6"/>
    </row>
    <row r="85" spans="2:6">
      <c r="B85" s="2"/>
      <c r="C85" s="19"/>
      <c r="D85" s="4"/>
      <c r="E85" s="6"/>
      <c r="F85" s="6"/>
    </row>
    <row r="86" spans="2:6">
      <c r="B86" s="2"/>
      <c r="C86" s="19"/>
      <c r="D86" s="4"/>
      <c r="E86" s="6"/>
      <c r="F86" s="6"/>
    </row>
    <row r="87" spans="2:6">
      <c r="B87" s="2"/>
      <c r="C87" s="19"/>
      <c r="D87" s="4"/>
      <c r="E87" s="6"/>
      <c r="F87" s="6"/>
    </row>
    <row r="88" spans="2:6">
      <c r="B88" s="2"/>
      <c r="C88" s="19"/>
      <c r="D88" s="4"/>
      <c r="E88" s="6"/>
      <c r="F88" s="6"/>
    </row>
    <row r="89" spans="2:6">
      <c r="B89" s="2"/>
      <c r="C89" s="19"/>
      <c r="D89" s="4"/>
      <c r="E89" s="6"/>
      <c r="F89" s="6"/>
    </row>
    <row r="90" spans="2:6">
      <c r="B90" s="2"/>
      <c r="C90" s="19"/>
      <c r="D90" s="4"/>
      <c r="E90" s="6"/>
      <c r="F90" s="6"/>
    </row>
    <row r="91" spans="2:6">
      <c r="B91" s="2"/>
      <c r="C91" s="19"/>
      <c r="D91" s="4"/>
      <c r="E91" s="6"/>
      <c r="F91" s="6"/>
    </row>
    <row r="92" spans="2:6">
      <c r="B92" s="2"/>
      <c r="C92" s="19"/>
      <c r="D92" s="4"/>
      <c r="E92" s="6"/>
      <c r="F92" s="6"/>
    </row>
    <row r="93" spans="2:6">
      <c r="B93" s="2"/>
      <c r="C93" s="19"/>
      <c r="D93" s="4"/>
      <c r="E93" s="6"/>
      <c r="F93" s="6"/>
    </row>
    <row r="94" spans="2:6">
      <c r="B94" s="2"/>
      <c r="C94" s="19"/>
      <c r="D94" s="4"/>
      <c r="E94" s="6"/>
      <c r="F94" s="6"/>
    </row>
    <row r="95" spans="2:6">
      <c r="B95" s="2"/>
      <c r="C95" s="19"/>
      <c r="D95" s="4"/>
      <c r="E95" s="6"/>
      <c r="F95" s="6"/>
    </row>
    <row r="96" spans="2:6">
      <c r="B96" s="2"/>
      <c r="C96" s="19"/>
      <c r="D96" s="4"/>
      <c r="E96" s="6"/>
      <c r="F96" s="6"/>
    </row>
    <row r="97" spans="2:6">
      <c r="B97" s="2"/>
      <c r="C97" s="19"/>
      <c r="D97" s="4"/>
      <c r="E97" s="6"/>
      <c r="F97" s="6"/>
    </row>
    <row r="98" spans="2:6">
      <c r="B98" s="2"/>
      <c r="C98" s="19"/>
      <c r="D98" s="4"/>
      <c r="E98" s="6"/>
      <c r="F98" s="6"/>
    </row>
    <row r="99" spans="2:6">
      <c r="B99" s="2"/>
      <c r="C99" s="19"/>
      <c r="D99" s="4"/>
      <c r="E99" s="6"/>
      <c r="F99" s="6"/>
    </row>
    <row r="100" spans="2:6">
      <c r="B100" s="2"/>
      <c r="C100" s="19"/>
      <c r="D100" s="4"/>
      <c r="E100" s="6"/>
      <c r="F100" s="6"/>
    </row>
  </sheetData>
  <mergeCells count="1">
    <mergeCell ref="A1:L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topLeftCell="A32" workbookViewId="0">
      <selection activeCell="M1" sqref="M1:M1048576"/>
    </sheetView>
  </sheetViews>
  <sheetFormatPr defaultRowHeight="14.25"/>
  <cols>
    <col min="1" max="1" width="31.125" customWidth="1"/>
    <col min="2" max="2" width="14.375" customWidth="1"/>
    <col min="3" max="3" width="47.625" customWidth="1"/>
    <col min="4" max="4" width="7.625" customWidth="1"/>
    <col min="5" max="5" width="13.75" customWidth="1"/>
    <col min="6" max="6" width="10.125" customWidth="1"/>
    <col min="8" max="8" width="12.75" customWidth="1"/>
    <col min="9" max="9" width="14.75" customWidth="1"/>
    <col min="10" max="10" width="13.375" customWidth="1"/>
    <col min="11" max="11" width="14.75" customWidth="1"/>
    <col min="12" max="12" width="7.625" customWidth="1"/>
    <col min="13" max="13" width="13.25" customWidth="1"/>
  </cols>
  <sheetData>
    <row r="1" spans="1:13" ht="23.25">
      <c r="A1" s="17" t="s">
        <v>77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3" ht="30">
      <c r="A3" s="1" t="s">
        <v>8</v>
      </c>
      <c r="B3" s="1" t="s">
        <v>9</v>
      </c>
      <c r="C3" s="1" t="s">
        <v>10</v>
      </c>
      <c r="D3" s="1" t="s">
        <v>54</v>
      </c>
      <c r="E3" s="1" t="s">
        <v>55</v>
      </c>
      <c r="F3" s="1" t="s">
        <v>6</v>
      </c>
      <c r="H3" s="1" t="s">
        <v>78</v>
      </c>
      <c r="I3" s="1" t="s">
        <v>8</v>
      </c>
      <c r="J3" s="1" t="s">
        <v>9</v>
      </c>
      <c r="K3" s="1" t="s">
        <v>10</v>
      </c>
      <c r="L3" s="1" t="s">
        <v>54</v>
      </c>
      <c r="M3" s="1" t="s">
        <v>55</v>
      </c>
    </row>
    <row r="4" spans="1:13">
      <c r="A4" t="s">
        <v>11</v>
      </c>
      <c r="B4" s="2">
        <v>5093241.0000260454</v>
      </c>
      <c r="C4" s="2">
        <v>1079527</v>
      </c>
      <c r="D4" s="4">
        <v>0.21195286066268601</v>
      </c>
      <c r="E4">
        <v>267200</v>
      </c>
      <c r="F4">
        <v>221227</v>
      </c>
      <c r="H4" t="s">
        <v>79</v>
      </c>
      <c r="I4" t="s">
        <v>16</v>
      </c>
      <c r="J4" s="2">
        <v>1564476.3199992015</v>
      </c>
      <c r="K4" s="2">
        <v>834944</v>
      </c>
      <c r="L4" s="4">
        <v>0.53368912608432839</v>
      </c>
      <c r="M4">
        <v>104368</v>
      </c>
    </row>
    <row r="5" spans="1:13">
      <c r="A5" t="s">
        <v>12</v>
      </c>
      <c r="B5" s="2">
        <v>2705364.2600071752</v>
      </c>
      <c r="C5" s="2">
        <v>753354</v>
      </c>
      <c r="D5" s="4">
        <v>0.27846675256883963</v>
      </c>
      <c r="E5">
        <v>325574</v>
      </c>
      <c r="F5">
        <v>220673</v>
      </c>
      <c r="H5" t="s">
        <v>80</v>
      </c>
      <c r="I5" t="s">
        <v>11</v>
      </c>
      <c r="J5" s="2">
        <v>926748.41999957559</v>
      </c>
      <c r="K5" s="2">
        <v>347748</v>
      </c>
      <c r="L5" s="4">
        <v>0.37523452157615683</v>
      </c>
      <c r="M5">
        <v>57958</v>
      </c>
    </row>
    <row r="6" spans="1:13">
      <c r="A6" t="s">
        <v>16</v>
      </c>
      <c r="B6" s="2">
        <v>2246771.2500004987</v>
      </c>
      <c r="C6" s="2">
        <v>1001437</v>
      </c>
      <c r="D6" s="4">
        <v>0.44572272321883133</v>
      </c>
      <c r="E6">
        <v>134075</v>
      </c>
      <c r="F6">
        <v>99025</v>
      </c>
      <c r="H6" t="s">
        <v>81</v>
      </c>
      <c r="I6" t="s">
        <v>11</v>
      </c>
      <c r="J6" s="2">
        <v>2388882.6300008711</v>
      </c>
      <c r="K6" s="2">
        <v>298685</v>
      </c>
      <c r="L6" s="4">
        <v>0.12503125781440802</v>
      </c>
      <c r="M6">
        <v>59737</v>
      </c>
    </row>
    <row r="7" spans="1:13">
      <c r="A7" t="s">
        <v>20</v>
      </c>
      <c r="B7" s="2">
        <v>2226836.2700005835</v>
      </c>
      <c r="C7" s="2">
        <v>673993</v>
      </c>
      <c r="D7" s="4">
        <v>0.30266841306649966</v>
      </c>
      <c r="E7">
        <v>194673</v>
      </c>
      <c r="F7">
        <v>157006</v>
      </c>
      <c r="H7" t="s">
        <v>82</v>
      </c>
      <c r="I7" t="s">
        <v>20</v>
      </c>
      <c r="J7" s="2">
        <v>587397.65999949921</v>
      </c>
      <c r="K7" s="2">
        <v>252102</v>
      </c>
      <c r="L7" s="4">
        <v>0.42918454935658906</v>
      </c>
      <c r="M7">
        <v>84034</v>
      </c>
    </row>
    <row r="8" spans="1:13">
      <c r="A8" t="s">
        <v>24</v>
      </c>
      <c r="B8" s="2">
        <v>2172359.5699995877</v>
      </c>
      <c r="C8" s="2">
        <v>505718</v>
      </c>
      <c r="D8" s="4">
        <v>0.23279663596395139</v>
      </c>
      <c r="E8">
        <v>169043</v>
      </c>
      <c r="F8">
        <v>131331</v>
      </c>
      <c r="H8" t="s">
        <v>83</v>
      </c>
      <c r="I8" t="s">
        <v>20</v>
      </c>
      <c r="J8" s="2">
        <v>412322.8199998801</v>
      </c>
      <c r="K8" s="2">
        <v>187590</v>
      </c>
      <c r="L8" s="4">
        <v>0.45495905368530065</v>
      </c>
      <c r="M8">
        <v>37518</v>
      </c>
    </row>
    <row r="9" spans="1:13">
      <c r="B9" s="2"/>
      <c r="C9" s="2"/>
      <c r="D9" s="4"/>
      <c r="H9" t="s">
        <v>84</v>
      </c>
      <c r="I9" t="s">
        <v>12</v>
      </c>
      <c r="J9" s="2">
        <v>365735.3699997451</v>
      </c>
      <c r="K9" s="2">
        <v>183326</v>
      </c>
      <c r="L9" s="4">
        <v>0.50125313283242956</v>
      </c>
      <c r="M9">
        <v>91663</v>
      </c>
    </row>
    <row r="10" spans="1:13">
      <c r="B10" s="2"/>
      <c r="C10" s="2"/>
      <c r="D10" s="4"/>
      <c r="H10" t="s">
        <v>85</v>
      </c>
      <c r="I10" t="s">
        <v>12</v>
      </c>
      <c r="J10" s="2">
        <v>488415.66999985842</v>
      </c>
      <c r="K10" s="2">
        <v>146597.99999999997</v>
      </c>
      <c r="L10" s="4">
        <v>0.30015007503760571</v>
      </c>
      <c r="M10">
        <v>24433</v>
      </c>
    </row>
    <row r="11" spans="1:13">
      <c r="B11" s="2"/>
      <c r="C11" s="2"/>
      <c r="D11" s="4"/>
      <c r="H11" t="s">
        <v>86</v>
      </c>
      <c r="I11" t="s">
        <v>24</v>
      </c>
      <c r="J11" s="2">
        <v>530594.56999984232</v>
      </c>
      <c r="K11" s="2">
        <v>132714.99999999997</v>
      </c>
      <c r="L11" s="4">
        <v>0.25012506253133993</v>
      </c>
      <c r="M11">
        <v>26543</v>
      </c>
    </row>
    <row r="12" spans="1:13" ht="15">
      <c r="A12" s="1" t="s">
        <v>87</v>
      </c>
      <c r="B12" s="3" t="s">
        <v>88</v>
      </c>
      <c r="C12" s="3" t="s">
        <v>89</v>
      </c>
      <c r="D12" s="4"/>
      <c r="H12" t="s">
        <v>90</v>
      </c>
      <c r="I12" t="s">
        <v>24</v>
      </c>
      <c r="J12" s="2">
        <v>505092.11999983061</v>
      </c>
      <c r="K12" s="2">
        <v>126352</v>
      </c>
      <c r="L12" s="4">
        <v>0.25015634771740725</v>
      </c>
      <c r="M12">
        <v>31588</v>
      </c>
    </row>
    <row r="13" spans="1:13">
      <c r="A13" t="s">
        <v>91</v>
      </c>
      <c r="B13" s="13">
        <v>0.65806188655538689</v>
      </c>
      <c r="C13" s="2" t="s">
        <v>92</v>
      </c>
      <c r="D13" s="4"/>
      <c r="H13" t="s">
        <v>93</v>
      </c>
      <c r="I13" t="s">
        <v>12</v>
      </c>
      <c r="J13" s="2">
        <v>255406.31999996575</v>
      </c>
      <c r="K13" s="2">
        <v>121679.99999999999</v>
      </c>
      <c r="L13" s="4">
        <v>0.47641734159129773</v>
      </c>
      <c r="M13">
        <v>12168</v>
      </c>
    </row>
    <row r="14" spans="1:13">
      <c r="A14" t="s">
        <v>94</v>
      </c>
      <c r="B14" s="13">
        <v>0.54493595490087698</v>
      </c>
      <c r="C14" s="2" t="s">
        <v>95</v>
      </c>
      <c r="D14" s="4"/>
    </row>
    <row r="15" spans="1:13">
      <c r="A15" t="s">
        <v>96</v>
      </c>
      <c r="B15" s="13">
        <v>0.66298486658196532</v>
      </c>
      <c r="C15" s="2" t="s">
        <v>97</v>
      </c>
      <c r="D15" s="4"/>
    </row>
    <row r="16" spans="1:13">
      <c r="A16" t="s">
        <v>98</v>
      </c>
      <c r="B16" s="13">
        <v>0.56284318241915954</v>
      </c>
      <c r="C16" s="2" t="s">
        <v>99</v>
      </c>
      <c r="D16" s="4"/>
    </row>
    <row r="17" spans="1:4">
      <c r="A17" t="s">
        <v>100</v>
      </c>
      <c r="B17" s="13">
        <v>0.39698008763267811</v>
      </c>
      <c r="C17" s="2" t="s">
        <v>101</v>
      </c>
      <c r="D17" s="4"/>
    </row>
    <row r="18" spans="1:4">
      <c r="A18" t="s">
        <v>102</v>
      </c>
      <c r="B18" s="13">
        <v>7.1420732918770172E-2</v>
      </c>
      <c r="C18" s="2" t="s">
        <v>103</v>
      </c>
      <c r="D18" s="4"/>
    </row>
    <row r="19" spans="1:4">
      <c r="A19" t="s">
        <v>104</v>
      </c>
      <c r="B19" s="13">
        <v>-2.795731035416657E-2</v>
      </c>
      <c r="C19" s="2" t="s">
        <v>105</v>
      </c>
      <c r="D19" s="4"/>
    </row>
    <row r="20" spans="1:4">
      <c r="B20" s="2"/>
      <c r="C20" s="2"/>
      <c r="D20" s="4"/>
    </row>
  </sheetData>
  <mergeCells count="1">
    <mergeCell ref="A1:L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workbookViewId="0">
      <selection activeCell="C2" sqref="C1:C1048576"/>
    </sheetView>
  </sheetViews>
  <sheetFormatPr defaultRowHeight="14.25"/>
  <cols>
    <col min="1" max="1" width="38.875" customWidth="1"/>
    <col min="2" max="2" width="14.75" customWidth="1"/>
    <col min="3" max="3" width="15.75" customWidth="1"/>
    <col min="4" max="4" width="18.125" customWidth="1"/>
    <col min="5" max="5" width="12.625" customWidth="1"/>
    <col min="6" max="6" width="7.625" customWidth="1"/>
    <col min="7" max="7" width="16.375" customWidth="1"/>
    <col min="8" max="8" width="16.25" customWidth="1"/>
    <col min="10" max="10" width="20.5" customWidth="1"/>
    <col min="11" max="11" width="14.75" customWidth="1"/>
    <col min="12" max="12" width="9.5" customWidth="1"/>
    <col min="13" max="13" width="16" customWidth="1"/>
    <col min="14" max="15" width="7.625" customWidth="1"/>
    <col min="16" max="16" width="12.25" customWidth="1"/>
    <col min="17" max="17" width="13.375" customWidth="1"/>
  </cols>
  <sheetData>
    <row r="1" spans="1:17" ht="23.25">
      <c r="A1" s="17" t="s">
        <v>106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7" ht="30">
      <c r="A3" s="1" t="s">
        <v>107</v>
      </c>
      <c r="B3" s="1" t="s">
        <v>108</v>
      </c>
      <c r="C3" s="1" t="s">
        <v>34</v>
      </c>
      <c r="D3" s="1" t="s">
        <v>9</v>
      </c>
      <c r="E3" s="1" t="s">
        <v>10</v>
      </c>
      <c r="F3" s="1" t="s">
        <v>54</v>
      </c>
      <c r="G3" s="1" t="s">
        <v>55</v>
      </c>
      <c r="H3" s="1" t="s">
        <v>109</v>
      </c>
      <c r="J3" s="1" t="s">
        <v>110</v>
      </c>
      <c r="K3" s="1" t="s">
        <v>108</v>
      </c>
      <c r="L3" s="1" t="s">
        <v>34</v>
      </c>
      <c r="M3" s="1" t="s">
        <v>9</v>
      </c>
      <c r="N3" s="1" t="s">
        <v>10</v>
      </c>
      <c r="O3" s="1" t="s">
        <v>54</v>
      </c>
      <c r="P3" s="1" t="s">
        <v>55</v>
      </c>
      <c r="Q3" s="1" t="s">
        <v>109</v>
      </c>
    </row>
    <row r="4" spans="1:17">
      <c r="A4" t="s">
        <v>111</v>
      </c>
      <c r="B4" t="s">
        <v>112</v>
      </c>
      <c r="C4" t="s">
        <v>40</v>
      </c>
      <c r="D4" s="2">
        <v>554553.42999979306</v>
      </c>
      <c r="E4" s="2">
        <v>169856</v>
      </c>
      <c r="F4" s="4">
        <v>0.3062932998179515</v>
      </c>
      <c r="G4">
        <v>42757</v>
      </c>
      <c r="H4" s="14">
        <v>19.106719611348989</v>
      </c>
      <c r="J4" t="s">
        <v>113</v>
      </c>
      <c r="K4" t="s">
        <v>114</v>
      </c>
      <c r="L4" t="s">
        <v>41</v>
      </c>
      <c r="M4" s="2">
        <v>221587.25999997163</v>
      </c>
      <c r="N4" s="2">
        <v>56811</v>
      </c>
      <c r="O4" s="4">
        <v>0.2563820681748909</v>
      </c>
      <c r="P4">
        <v>17074</v>
      </c>
      <c r="Q4" s="14">
        <v>16.241828043683327</v>
      </c>
    </row>
    <row r="5" spans="1:17">
      <c r="A5" t="s">
        <v>115</v>
      </c>
      <c r="B5" t="s">
        <v>116</v>
      </c>
      <c r="C5" t="s">
        <v>40</v>
      </c>
      <c r="D5" s="2">
        <v>449354.90999985964</v>
      </c>
      <c r="E5" s="2">
        <v>121571</v>
      </c>
      <c r="F5" s="4">
        <v>0.27054561393362314</v>
      </c>
      <c r="G5">
        <v>31609</v>
      </c>
      <c r="H5" s="14">
        <v>19.216340660274533</v>
      </c>
      <c r="J5" t="s">
        <v>117</v>
      </c>
      <c r="K5" t="s">
        <v>118</v>
      </c>
      <c r="L5" t="s">
        <v>41</v>
      </c>
      <c r="M5" s="2">
        <v>210897.82999997385</v>
      </c>
      <c r="N5" s="2">
        <v>57407</v>
      </c>
      <c r="O5" s="4">
        <v>0.27220289559170485</v>
      </c>
      <c r="P5">
        <v>16217</v>
      </c>
      <c r="Q5" s="14">
        <v>15.956558220471655</v>
      </c>
    </row>
    <row r="6" spans="1:17">
      <c r="A6" t="s">
        <v>119</v>
      </c>
      <c r="B6" t="s">
        <v>112</v>
      </c>
      <c r="C6" t="s">
        <v>41</v>
      </c>
      <c r="D6" s="2">
        <v>433556.20999985136</v>
      </c>
      <c r="E6" s="2">
        <v>111296</v>
      </c>
      <c r="F6" s="4">
        <v>0.25670489185251932</v>
      </c>
      <c r="G6">
        <v>33479</v>
      </c>
      <c r="H6" s="14">
        <v>17.709182664808896</v>
      </c>
      <c r="J6" t="s">
        <v>120</v>
      </c>
      <c r="K6" t="s">
        <v>121</v>
      </c>
      <c r="L6" t="s">
        <v>43</v>
      </c>
      <c r="M6" s="2">
        <v>222364.35999997993</v>
      </c>
      <c r="N6" s="2">
        <v>58090</v>
      </c>
      <c r="O6" s="4">
        <v>0.26123790700994187</v>
      </c>
      <c r="P6">
        <v>15964</v>
      </c>
      <c r="Q6" s="14">
        <v>17.404849718220095</v>
      </c>
    </row>
    <row r="7" spans="1:17">
      <c r="A7" t="s">
        <v>122</v>
      </c>
      <c r="B7" t="s">
        <v>123</v>
      </c>
      <c r="C7" t="s">
        <v>41</v>
      </c>
      <c r="D7" s="2">
        <v>372998.81999989355</v>
      </c>
      <c r="E7" s="2">
        <v>106783</v>
      </c>
      <c r="F7" s="4">
        <v>0.28628240700608776</v>
      </c>
      <c r="G7">
        <v>28318</v>
      </c>
      <c r="H7" s="14">
        <v>17.511681690135848</v>
      </c>
      <c r="J7" t="s">
        <v>124</v>
      </c>
      <c r="K7" t="s">
        <v>125</v>
      </c>
      <c r="L7" t="s">
        <v>43</v>
      </c>
      <c r="M7" s="2">
        <v>206055.22999998069</v>
      </c>
      <c r="N7" s="2">
        <v>58091</v>
      </c>
      <c r="O7" s="4">
        <v>0.28191956108081045</v>
      </c>
      <c r="P7">
        <v>16277</v>
      </c>
      <c r="Q7" s="14">
        <v>16.091778992579513</v>
      </c>
    </row>
    <row r="8" spans="1:17">
      <c r="A8" t="s">
        <v>126</v>
      </c>
      <c r="B8" t="s">
        <v>121</v>
      </c>
      <c r="C8" t="s">
        <v>41</v>
      </c>
      <c r="D8" s="2">
        <v>411157.31999987364</v>
      </c>
      <c r="E8" s="2">
        <v>104612</v>
      </c>
      <c r="F8" s="4">
        <v>0.25443302334987528</v>
      </c>
      <c r="G8">
        <v>32668</v>
      </c>
      <c r="H8" s="14">
        <v>17.471521692936456</v>
      </c>
      <c r="J8" t="s">
        <v>127</v>
      </c>
      <c r="K8" t="s">
        <v>128</v>
      </c>
      <c r="L8" t="s">
        <v>41</v>
      </c>
      <c r="M8" s="2">
        <v>229983.03999997152</v>
      </c>
      <c r="N8" s="2">
        <v>59160</v>
      </c>
      <c r="O8" s="4">
        <v>0.25723635968985942</v>
      </c>
      <c r="P8">
        <v>17196</v>
      </c>
      <c r="Q8" s="14">
        <v>17.034518924522001</v>
      </c>
    </row>
    <row r="9" spans="1:17">
      <c r="A9" t="s">
        <v>129</v>
      </c>
      <c r="B9" t="s">
        <v>116</v>
      </c>
      <c r="C9" t="s">
        <v>41</v>
      </c>
      <c r="D9" s="2">
        <v>348466.63999990991</v>
      </c>
      <c r="E9" s="2">
        <v>102178</v>
      </c>
      <c r="F9" s="4">
        <v>0.29322175574691001</v>
      </c>
      <c r="G9">
        <v>24136</v>
      </c>
      <c r="H9" s="14">
        <v>18.59579700090239</v>
      </c>
      <c r="J9" t="s">
        <v>130</v>
      </c>
      <c r="K9" t="s">
        <v>131</v>
      </c>
      <c r="L9" t="s">
        <v>41</v>
      </c>
      <c r="M9" s="2">
        <v>242154.35999996643</v>
      </c>
      <c r="N9" s="2">
        <v>59618</v>
      </c>
      <c r="O9" s="4">
        <v>0.24619833398832161</v>
      </c>
      <c r="P9">
        <v>18564</v>
      </c>
      <c r="Q9" s="14">
        <v>17.350029375937982</v>
      </c>
    </row>
    <row r="10" spans="1:17">
      <c r="A10" t="s">
        <v>132</v>
      </c>
      <c r="B10" t="s">
        <v>133</v>
      </c>
      <c r="C10" t="s">
        <v>43</v>
      </c>
      <c r="D10" s="2">
        <v>344846.6399999276</v>
      </c>
      <c r="E10" s="2">
        <v>98825</v>
      </c>
      <c r="F10" s="4">
        <v>0.28657666491986333</v>
      </c>
      <c r="G10">
        <v>23236</v>
      </c>
      <c r="H10" s="14">
        <v>20.832878632267722</v>
      </c>
      <c r="J10" t="s">
        <v>134</v>
      </c>
      <c r="K10" t="s">
        <v>135</v>
      </c>
      <c r="L10" t="s">
        <v>41</v>
      </c>
      <c r="M10" s="2">
        <v>222318.77999997366</v>
      </c>
      <c r="N10" s="2">
        <v>62673</v>
      </c>
      <c r="O10" s="4">
        <v>0.28190600902005414</v>
      </c>
      <c r="P10">
        <v>17422</v>
      </c>
      <c r="Q10" s="14">
        <v>15.75611481218807</v>
      </c>
    </row>
    <row r="11" spans="1:17">
      <c r="A11" t="s">
        <v>136</v>
      </c>
      <c r="B11" t="s">
        <v>137</v>
      </c>
      <c r="C11" t="s">
        <v>43</v>
      </c>
      <c r="D11" s="2">
        <v>294019.41999993927</v>
      </c>
      <c r="E11" s="2">
        <v>97206</v>
      </c>
      <c r="F11" s="4">
        <v>0.33061081475509363</v>
      </c>
      <c r="G11">
        <v>22858</v>
      </c>
      <c r="H11" s="14">
        <v>17.434737903222207</v>
      </c>
      <c r="J11" t="s">
        <v>138</v>
      </c>
      <c r="K11" t="s">
        <v>139</v>
      </c>
      <c r="L11" t="s">
        <v>41</v>
      </c>
      <c r="M11" s="2">
        <v>251160.90999996811</v>
      </c>
      <c r="N11" s="2">
        <v>63959</v>
      </c>
      <c r="O11" s="4">
        <v>0.25465348090993983</v>
      </c>
      <c r="P11">
        <v>19909</v>
      </c>
      <c r="Q11" s="14">
        <v>17.20987460600028</v>
      </c>
    </row>
    <row r="12" spans="1:17">
      <c r="A12" t="s">
        <v>140</v>
      </c>
      <c r="B12" t="s">
        <v>141</v>
      </c>
      <c r="C12" t="s">
        <v>41</v>
      </c>
      <c r="D12" s="2">
        <v>330408.89999991638</v>
      </c>
      <c r="E12" s="2">
        <v>94252</v>
      </c>
      <c r="F12" s="4">
        <v>0.28525865980009574</v>
      </c>
      <c r="G12">
        <v>24010</v>
      </c>
      <c r="H12" s="14">
        <v>17.459781230179473</v>
      </c>
      <c r="J12" t="s">
        <v>142</v>
      </c>
      <c r="K12" t="s">
        <v>143</v>
      </c>
      <c r="L12" t="s">
        <v>41</v>
      </c>
      <c r="M12" s="2">
        <v>237676.14999996749</v>
      </c>
      <c r="N12" s="2">
        <v>63989</v>
      </c>
      <c r="O12" s="4">
        <v>0.26922768649697815</v>
      </c>
      <c r="P12">
        <v>19185</v>
      </c>
      <c r="Q12" s="14">
        <v>15.877890974678836</v>
      </c>
    </row>
    <row r="13" spans="1:17">
      <c r="A13" t="s">
        <v>144</v>
      </c>
      <c r="B13" t="s">
        <v>112</v>
      </c>
      <c r="C13" t="s">
        <v>42</v>
      </c>
      <c r="D13" s="2">
        <v>337424.65999991749</v>
      </c>
      <c r="E13" s="2">
        <v>94021</v>
      </c>
      <c r="F13" s="4">
        <v>0.27864294210157309</v>
      </c>
      <c r="G13">
        <v>26634</v>
      </c>
      <c r="H13" s="14">
        <v>17.258690604056952</v>
      </c>
      <c r="J13" t="s">
        <v>145</v>
      </c>
      <c r="K13" t="s">
        <v>146</v>
      </c>
      <c r="L13" t="s">
        <v>41</v>
      </c>
      <c r="M13" s="2">
        <v>232097.71999997032</v>
      </c>
      <c r="N13" s="2">
        <v>64399</v>
      </c>
      <c r="O13" s="4">
        <v>0.27746502636910109</v>
      </c>
      <c r="P13">
        <v>18328</v>
      </c>
      <c r="Q13" s="14">
        <v>15.603208067224895</v>
      </c>
    </row>
    <row r="17" spans="1:17" ht="30">
      <c r="A17" s="1" t="s">
        <v>78</v>
      </c>
      <c r="B17" s="1" t="s">
        <v>8</v>
      </c>
      <c r="C17" s="1" t="s">
        <v>9</v>
      </c>
      <c r="D17" s="1" t="s">
        <v>10</v>
      </c>
      <c r="E17" s="1" t="s">
        <v>54</v>
      </c>
      <c r="F17" s="1" t="s">
        <v>55</v>
      </c>
      <c r="G17" s="1" t="s">
        <v>147</v>
      </c>
      <c r="H17" s="1" t="s">
        <v>148</v>
      </c>
      <c r="J17" s="1" t="s">
        <v>78</v>
      </c>
      <c r="K17" s="1" t="s">
        <v>8</v>
      </c>
      <c r="L17" s="1" t="s">
        <v>9</v>
      </c>
      <c r="M17" s="1" t="s">
        <v>10</v>
      </c>
      <c r="N17" s="1" t="s">
        <v>54</v>
      </c>
      <c r="O17" s="1" t="s">
        <v>55</v>
      </c>
      <c r="P17" s="1" t="s">
        <v>147</v>
      </c>
      <c r="Q17" s="1" t="s">
        <v>149</v>
      </c>
    </row>
    <row r="18" spans="1:17">
      <c r="A18" t="s">
        <v>79</v>
      </c>
      <c r="B18" t="s">
        <v>16</v>
      </c>
      <c r="C18" s="2">
        <v>1564476.3199992015</v>
      </c>
      <c r="D18" s="2">
        <v>834944</v>
      </c>
      <c r="E18" s="4">
        <v>0.53368912608432839</v>
      </c>
      <c r="F18">
        <v>104368</v>
      </c>
      <c r="G18">
        <v>1159</v>
      </c>
      <c r="H18" s="15">
        <v>0.23320366395830142</v>
      </c>
      <c r="J18" t="s">
        <v>81</v>
      </c>
      <c r="K18" t="s">
        <v>11</v>
      </c>
      <c r="L18" s="2">
        <v>2388882.6300008711</v>
      </c>
      <c r="M18" s="2">
        <v>298685</v>
      </c>
      <c r="N18" s="4">
        <v>0.12503125781440802</v>
      </c>
      <c r="O18">
        <v>59737</v>
      </c>
      <c r="P18">
        <v>1118</v>
      </c>
      <c r="Q18" s="2">
        <v>39118.819999999992</v>
      </c>
    </row>
    <row r="19" spans="1:17">
      <c r="A19" t="s">
        <v>150</v>
      </c>
      <c r="B19" t="s">
        <v>12</v>
      </c>
      <c r="C19" s="2">
        <v>308352.71999981772</v>
      </c>
      <c r="D19" s="2">
        <v>103128.00000000001</v>
      </c>
      <c r="E19" s="4">
        <v>0.33444816053531479</v>
      </c>
      <c r="F19">
        <v>103128</v>
      </c>
      <c r="G19">
        <v>2129</v>
      </c>
      <c r="H19" s="15">
        <v>0.43352920642308584</v>
      </c>
      <c r="J19" t="s">
        <v>151</v>
      </c>
      <c r="K19" t="s">
        <v>20</v>
      </c>
      <c r="L19" s="2">
        <v>912983.27999966987</v>
      </c>
      <c r="M19" s="2">
        <v>91344</v>
      </c>
      <c r="N19" s="4">
        <v>0.10005002501254243</v>
      </c>
      <c r="O19">
        <v>45672</v>
      </c>
      <c r="P19">
        <v>1497</v>
      </c>
      <c r="Q19" s="2">
        <v>26931.030000000006</v>
      </c>
    </row>
    <row r="20" spans="1:17">
      <c r="A20" t="s">
        <v>84</v>
      </c>
      <c r="B20" t="s">
        <v>12</v>
      </c>
      <c r="C20" s="2">
        <v>365735.3699997451</v>
      </c>
      <c r="D20" s="2">
        <v>183326</v>
      </c>
      <c r="E20" s="4">
        <v>0.50125313283242956</v>
      </c>
      <c r="F20">
        <v>91663</v>
      </c>
      <c r="G20">
        <v>1282</v>
      </c>
      <c r="H20" s="15">
        <v>0.29370629370629375</v>
      </c>
      <c r="J20" t="s">
        <v>152</v>
      </c>
      <c r="K20" t="s">
        <v>12</v>
      </c>
      <c r="L20" s="2">
        <v>968962.01999960642</v>
      </c>
      <c r="M20" s="2">
        <v>121196</v>
      </c>
      <c r="N20" s="4">
        <v>0.12507817385871248</v>
      </c>
      <c r="O20">
        <v>60598</v>
      </c>
      <c r="P20">
        <v>1922</v>
      </c>
      <c r="Q20" s="2">
        <v>26888.780000000002</v>
      </c>
    </row>
    <row r="21" spans="1:17">
      <c r="A21" t="s">
        <v>82</v>
      </c>
      <c r="B21" t="s">
        <v>20</v>
      </c>
      <c r="C21" s="2">
        <v>587397.65999949921</v>
      </c>
      <c r="D21" s="2">
        <v>252102</v>
      </c>
      <c r="E21" s="4">
        <v>0.42918454935658906</v>
      </c>
      <c r="F21">
        <v>84034</v>
      </c>
      <c r="G21">
        <v>2738</v>
      </c>
      <c r="H21" s="15">
        <v>0.6842230525739581</v>
      </c>
      <c r="J21" t="s">
        <v>153</v>
      </c>
      <c r="K21" t="s">
        <v>11</v>
      </c>
      <c r="L21" s="2">
        <v>434889.87999985262</v>
      </c>
      <c r="M21" s="2">
        <v>116048</v>
      </c>
      <c r="N21" s="4">
        <v>0.26684456304211845</v>
      </c>
      <c r="O21">
        <v>29012</v>
      </c>
      <c r="P21">
        <v>2272</v>
      </c>
      <c r="Q21" s="2">
        <v>24969.279999999999</v>
      </c>
    </row>
    <row r="22" spans="1:17">
      <c r="A22" t="s">
        <v>152</v>
      </c>
      <c r="B22" t="s">
        <v>12</v>
      </c>
      <c r="C22" s="2">
        <v>968962.01999960642</v>
      </c>
      <c r="D22" s="2">
        <v>121196</v>
      </c>
      <c r="E22" s="4">
        <v>0.12507817385871248</v>
      </c>
      <c r="F22">
        <v>60598</v>
      </c>
      <c r="G22">
        <v>1922</v>
      </c>
      <c r="H22" s="15">
        <v>0.66606158619096334</v>
      </c>
      <c r="J22" t="s">
        <v>86</v>
      </c>
      <c r="K22" t="s">
        <v>24</v>
      </c>
      <c r="L22" s="2">
        <v>530594.56999984232</v>
      </c>
      <c r="M22" s="2">
        <v>132714.99999999997</v>
      </c>
      <c r="N22" s="4">
        <v>0.25012506253133993</v>
      </c>
      <c r="O22">
        <v>26543</v>
      </c>
      <c r="P22">
        <v>1212</v>
      </c>
      <c r="Q22" s="2">
        <v>18167.879999999997</v>
      </c>
    </row>
    <row r="23" spans="1:17">
      <c r="A23" t="s">
        <v>154</v>
      </c>
      <c r="B23" t="s">
        <v>24</v>
      </c>
      <c r="C23" s="2">
        <v>541629.51999972761</v>
      </c>
      <c r="D23" s="2">
        <v>60248</v>
      </c>
      <c r="E23" s="4">
        <v>0.11123470522808709</v>
      </c>
      <c r="F23">
        <v>60248</v>
      </c>
      <c r="G23">
        <v>893</v>
      </c>
      <c r="H23" s="15">
        <v>0.31126344442969062</v>
      </c>
      <c r="J23" t="s">
        <v>155</v>
      </c>
      <c r="K23" t="s">
        <v>16</v>
      </c>
      <c r="L23" s="2">
        <v>305356.5099999588</v>
      </c>
      <c r="M23" s="2">
        <v>58745</v>
      </c>
      <c r="N23" s="4">
        <v>0.19238168526358887</v>
      </c>
      <c r="O23">
        <v>11749</v>
      </c>
      <c r="P23">
        <v>622</v>
      </c>
      <c r="Q23" s="2">
        <v>13055.779999999999</v>
      </c>
    </row>
    <row r="24" spans="1:17">
      <c r="A24" t="s">
        <v>81</v>
      </c>
      <c r="B24" t="s">
        <v>11</v>
      </c>
      <c r="C24" s="2">
        <v>2388882.6300008711</v>
      </c>
      <c r="D24" s="2">
        <v>298685</v>
      </c>
      <c r="E24" s="4">
        <v>0.12503125781440802</v>
      </c>
      <c r="F24">
        <v>59737</v>
      </c>
      <c r="G24">
        <v>1118</v>
      </c>
      <c r="H24" s="15">
        <v>0.39302274971960427</v>
      </c>
      <c r="J24" t="s">
        <v>156</v>
      </c>
      <c r="K24" t="s">
        <v>12</v>
      </c>
      <c r="L24" s="2">
        <v>157387.02000000188</v>
      </c>
      <c r="M24" s="2">
        <v>25192</v>
      </c>
      <c r="N24" s="4">
        <v>0.16006402561024219</v>
      </c>
      <c r="O24">
        <v>6298</v>
      </c>
      <c r="P24">
        <v>550</v>
      </c>
      <c r="Q24" s="2">
        <v>11544.499999999998</v>
      </c>
    </row>
    <row r="25" spans="1:17">
      <c r="A25" t="s">
        <v>80</v>
      </c>
      <c r="B25" t="s">
        <v>11</v>
      </c>
      <c r="C25" s="2">
        <v>926748.41999957559</v>
      </c>
      <c r="D25" s="2">
        <v>347748</v>
      </c>
      <c r="E25" s="4">
        <v>0.37523452157615683</v>
      </c>
      <c r="F25">
        <v>57958</v>
      </c>
      <c r="G25">
        <v>614</v>
      </c>
      <c r="H25" s="15">
        <v>0.22247144483936643</v>
      </c>
      <c r="J25" t="s">
        <v>82</v>
      </c>
      <c r="K25" t="s">
        <v>20</v>
      </c>
      <c r="L25" s="2">
        <v>587397.65999949921</v>
      </c>
      <c r="M25" s="2">
        <v>252102</v>
      </c>
      <c r="N25" s="4">
        <v>0.42918454935658906</v>
      </c>
      <c r="O25">
        <v>84034</v>
      </c>
      <c r="P25">
        <v>2738</v>
      </c>
      <c r="Q25" s="2">
        <v>10924.619999999999</v>
      </c>
    </row>
    <row r="26" spans="1:17">
      <c r="A26" t="s">
        <v>151</v>
      </c>
      <c r="B26" t="s">
        <v>20</v>
      </c>
      <c r="C26" s="2">
        <v>912983.27999966987</v>
      </c>
      <c r="D26" s="2">
        <v>91344</v>
      </c>
      <c r="E26" s="4">
        <v>0.10005002501254243</v>
      </c>
      <c r="F26">
        <v>45672</v>
      </c>
      <c r="G26">
        <v>1497</v>
      </c>
      <c r="H26" s="15">
        <v>0.68832107199159231</v>
      </c>
      <c r="J26" t="s">
        <v>157</v>
      </c>
      <c r="K26" t="s">
        <v>16</v>
      </c>
      <c r="L26" s="2">
        <v>376938.41999991646</v>
      </c>
      <c r="M26" s="2">
        <v>107747.99999999999</v>
      </c>
      <c r="N26" s="4">
        <v>0.28585040495480368</v>
      </c>
      <c r="O26">
        <v>17958</v>
      </c>
      <c r="P26">
        <v>637</v>
      </c>
      <c r="Q26" s="2">
        <v>9548.6299999999974</v>
      </c>
    </row>
    <row r="27" spans="1:17">
      <c r="A27" t="s">
        <v>158</v>
      </c>
      <c r="B27" t="s">
        <v>11</v>
      </c>
      <c r="C27" s="2">
        <v>507766.10999979032</v>
      </c>
      <c r="D27" s="2">
        <v>117267</v>
      </c>
      <c r="E27" s="4">
        <v>0.23094688221718543</v>
      </c>
      <c r="F27">
        <v>39089</v>
      </c>
      <c r="G27">
        <v>835</v>
      </c>
      <c r="H27" s="15">
        <v>0.44859167540740363</v>
      </c>
      <c r="J27" t="s">
        <v>90</v>
      </c>
      <c r="K27" t="s">
        <v>24</v>
      </c>
      <c r="L27" s="2">
        <v>505092.11999983061</v>
      </c>
      <c r="M27" s="2">
        <v>126352</v>
      </c>
      <c r="N27" s="4">
        <v>0.25015634771740725</v>
      </c>
      <c r="O27">
        <v>31588</v>
      </c>
      <c r="P27">
        <v>776</v>
      </c>
      <c r="Q27" s="2">
        <v>9304.239999999998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0"/>
  <sheetViews>
    <sheetView topLeftCell="A14" workbookViewId="0">
      <selection activeCell="E2" sqref="E1:E1048576"/>
    </sheetView>
  </sheetViews>
  <sheetFormatPr defaultRowHeight="14.25"/>
  <cols>
    <col min="1" max="1" width="43.75" customWidth="1"/>
    <col min="2" max="2" width="19" customWidth="1"/>
    <col min="3" max="3" width="14.75" customWidth="1"/>
    <col min="4" max="4" width="17.5" customWidth="1"/>
    <col min="5" max="5" width="19.75" customWidth="1"/>
    <col min="6" max="6" width="7.625" customWidth="1"/>
    <col min="7" max="7" width="16.125" customWidth="1"/>
    <col min="8" max="8" width="18.625" customWidth="1"/>
    <col min="10" max="10" width="17.625" customWidth="1"/>
    <col min="11" max="11" width="19" customWidth="1"/>
    <col min="12" max="12" width="37.875" customWidth="1"/>
  </cols>
  <sheetData>
    <row r="1" spans="1:12" ht="23.25">
      <c r="A1" s="17" t="s">
        <v>159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2" ht="30">
      <c r="A3" s="1" t="s">
        <v>160</v>
      </c>
      <c r="B3" s="1" t="s">
        <v>78</v>
      </c>
      <c r="C3" s="1" t="s">
        <v>8</v>
      </c>
      <c r="D3" s="1" t="s">
        <v>9</v>
      </c>
      <c r="E3" s="1" t="s">
        <v>10</v>
      </c>
      <c r="F3" s="1" t="s">
        <v>54</v>
      </c>
      <c r="G3" s="1" t="s">
        <v>161</v>
      </c>
      <c r="H3" s="1" t="s">
        <v>162</v>
      </c>
      <c r="J3" s="1" t="s">
        <v>163</v>
      </c>
      <c r="K3" s="1" t="s">
        <v>164</v>
      </c>
      <c r="L3" s="1" t="s">
        <v>165</v>
      </c>
    </row>
    <row r="4" spans="1:12">
      <c r="A4">
        <v>1</v>
      </c>
      <c r="B4" t="s">
        <v>79</v>
      </c>
      <c r="C4" t="s">
        <v>16</v>
      </c>
      <c r="D4" s="2">
        <v>1564476.3199992015</v>
      </c>
      <c r="E4" s="2">
        <v>834944</v>
      </c>
      <c r="F4" s="4">
        <v>0.53368912608432839</v>
      </c>
      <c r="G4" s="4">
        <v>0.2080064693105107</v>
      </c>
      <c r="H4" s="4">
        <v>0.1083089399999317</v>
      </c>
      <c r="J4" t="s">
        <v>166</v>
      </c>
      <c r="K4" t="s">
        <v>167</v>
      </c>
      <c r="L4" t="s">
        <v>168</v>
      </c>
    </row>
    <row r="5" spans="1:12">
      <c r="A5">
        <v>2</v>
      </c>
      <c r="B5" t="s">
        <v>80</v>
      </c>
      <c r="C5" t="s">
        <v>11</v>
      </c>
      <c r="D5" s="2">
        <v>926748.41999957559</v>
      </c>
      <c r="E5" s="2">
        <v>347748</v>
      </c>
      <c r="F5" s="4">
        <v>0.37523452157615683</v>
      </c>
      <c r="G5" s="4">
        <v>0.29463962517460635</v>
      </c>
      <c r="H5" s="4">
        <v>0.17246787787175374</v>
      </c>
      <c r="J5" t="s">
        <v>169</v>
      </c>
      <c r="K5" t="s">
        <v>170</v>
      </c>
      <c r="L5" t="s">
        <v>171</v>
      </c>
    </row>
    <row r="6" spans="1:12">
      <c r="A6">
        <v>3</v>
      </c>
      <c r="B6" t="s">
        <v>81</v>
      </c>
      <c r="C6" t="s">
        <v>11</v>
      </c>
      <c r="D6" s="2">
        <v>2388882.6300008711</v>
      </c>
      <c r="E6" s="2">
        <v>298685</v>
      </c>
      <c r="F6" s="4">
        <v>0.12503125781440802</v>
      </c>
      <c r="G6" s="4">
        <v>0.36904989973913987</v>
      </c>
      <c r="H6" s="4">
        <v>0.33785059548282981</v>
      </c>
      <c r="J6" t="s">
        <v>172</v>
      </c>
      <c r="K6" t="s">
        <v>173</v>
      </c>
      <c r="L6" t="s">
        <v>174</v>
      </c>
    </row>
    <row r="7" spans="1:12">
      <c r="A7">
        <v>4</v>
      </c>
      <c r="B7" t="s">
        <v>82</v>
      </c>
      <c r="C7" t="s">
        <v>20</v>
      </c>
      <c r="D7" s="2">
        <v>587397.65999949921</v>
      </c>
      <c r="E7" s="2">
        <v>252102</v>
      </c>
      <c r="F7" s="4">
        <v>0.42918454935658906</v>
      </c>
      <c r="G7" s="4">
        <v>0.43185512610895438</v>
      </c>
      <c r="H7" s="4">
        <v>0.37851622723430206</v>
      </c>
      <c r="J7" t="s">
        <v>175</v>
      </c>
      <c r="K7" t="s">
        <v>176</v>
      </c>
      <c r="L7" t="s">
        <v>177</v>
      </c>
    </row>
    <row r="8" spans="1:12">
      <c r="A8">
        <v>5</v>
      </c>
      <c r="B8" t="s">
        <v>83</v>
      </c>
      <c r="C8" t="s">
        <v>20</v>
      </c>
      <c r="D8" s="2">
        <v>412322.8199998801</v>
      </c>
      <c r="E8" s="2">
        <v>187590</v>
      </c>
      <c r="F8" s="4">
        <v>0.45495905368530065</v>
      </c>
      <c r="G8" s="4">
        <v>0.47858871971278732</v>
      </c>
      <c r="H8" s="4">
        <v>0.40706140046644945</v>
      </c>
      <c r="J8" t="s">
        <v>178</v>
      </c>
      <c r="K8" t="s">
        <v>11</v>
      </c>
      <c r="L8" t="s">
        <v>179</v>
      </c>
    </row>
    <row r="9" spans="1:12">
      <c r="A9">
        <v>6</v>
      </c>
      <c r="B9" t="s">
        <v>84</v>
      </c>
      <c r="C9" t="s">
        <v>12</v>
      </c>
      <c r="D9" s="2">
        <v>365735.3699997451</v>
      </c>
      <c r="E9" s="2">
        <v>183326</v>
      </c>
      <c r="F9" s="4">
        <v>0.50125313283242956</v>
      </c>
      <c r="G9" s="4">
        <v>0.52426003897829343</v>
      </c>
      <c r="H9" s="4">
        <v>0.43238131725827117</v>
      </c>
      <c r="J9" t="s">
        <v>180</v>
      </c>
      <c r="K9" t="s">
        <v>181</v>
      </c>
      <c r="L9" t="s">
        <v>182</v>
      </c>
    </row>
    <row r="10" spans="1:12">
      <c r="A10">
        <v>7</v>
      </c>
      <c r="B10" t="s">
        <v>85</v>
      </c>
      <c r="C10" t="s">
        <v>12</v>
      </c>
      <c r="D10" s="2">
        <v>488415.66999985842</v>
      </c>
      <c r="E10" s="2">
        <v>146597.99999999997</v>
      </c>
      <c r="F10" s="4">
        <v>0.30015007503760571</v>
      </c>
      <c r="G10" s="4">
        <v>0.56078144926207563</v>
      </c>
      <c r="H10" s="4">
        <v>0.46619441038138604</v>
      </c>
    </row>
    <row r="11" spans="1:12">
      <c r="A11">
        <v>8</v>
      </c>
      <c r="B11" t="s">
        <v>86</v>
      </c>
      <c r="C11" t="s">
        <v>24</v>
      </c>
      <c r="D11" s="2">
        <v>530594.56999984232</v>
      </c>
      <c r="E11" s="2">
        <v>132714.99999999997</v>
      </c>
      <c r="F11" s="4">
        <v>0.25012506253133993</v>
      </c>
      <c r="G11" s="4">
        <v>0.59384423978999656</v>
      </c>
      <c r="H11" s="4">
        <v>0.50292755533971423</v>
      </c>
    </row>
    <row r="12" spans="1:12" ht="15">
      <c r="A12">
        <v>9</v>
      </c>
      <c r="B12" t="s">
        <v>90</v>
      </c>
      <c r="C12" t="s">
        <v>24</v>
      </c>
      <c r="D12" s="2">
        <v>505092.11999983061</v>
      </c>
      <c r="E12" s="2">
        <v>126352</v>
      </c>
      <c r="F12" s="4">
        <v>0.25015634771740725</v>
      </c>
      <c r="G12" s="4">
        <v>0.62532183997674162</v>
      </c>
      <c r="H12" s="4">
        <v>0.53789516170113738</v>
      </c>
      <c r="J12" s="1" t="s">
        <v>183</v>
      </c>
      <c r="K12" s="1" t="s">
        <v>184</v>
      </c>
      <c r="L12" s="1" t="s">
        <v>185</v>
      </c>
    </row>
    <row r="13" spans="1:12">
      <c r="A13">
        <v>10</v>
      </c>
      <c r="B13" t="s">
        <v>93</v>
      </c>
      <c r="C13" t="s">
        <v>12</v>
      </c>
      <c r="D13" s="2">
        <v>255406.31999996575</v>
      </c>
      <c r="E13" s="2">
        <v>121679.99999999999</v>
      </c>
      <c r="F13" s="4">
        <v>0.47641734159129773</v>
      </c>
      <c r="G13" s="4">
        <v>0.65563552231436295</v>
      </c>
      <c r="H13" s="4">
        <v>0.55557698112841625</v>
      </c>
      <c r="J13" t="s">
        <v>186</v>
      </c>
      <c r="K13" s="16">
        <v>0.6</v>
      </c>
      <c r="L13" t="s">
        <v>187</v>
      </c>
    </row>
    <row r="14" spans="1:12">
      <c r="A14">
        <v>11</v>
      </c>
      <c r="B14" t="s">
        <v>152</v>
      </c>
      <c r="C14" t="s">
        <v>12</v>
      </c>
      <c r="D14" s="2">
        <v>968962.01999960642</v>
      </c>
      <c r="E14" s="2">
        <v>121196</v>
      </c>
      <c r="F14" s="4">
        <v>0.12507817385871248</v>
      </c>
      <c r="G14" s="4">
        <v>0.68582862754603913</v>
      </c>
      <c r="H14" s="4">
        <v>0.62265837312187478</v>
      </c>
      <c r="J14" t="s">
        <v>188</v>
      </c>
      <c r="K14" s="16">
        <v>0.3</v>
      </c>
      <c r="L14" t="s">
        <v>189</v>
      </c>
    </row>
    <row r="15" spans="1:12">
      <c r="A15">
        <v>12</v>
      </c>
      <c r="B15" t="s">
        <v>158</v>
      </c>
      <c r="C15" t="s">
        <v>11</v>
      </c>
      <c r="D15" s="2">
        <v>507766.10999979032</v>
      </c>
      <c r="E15" s="2">
        <v>117267</v>
      </c>
      <c r="F15" s="4">
        <v>0.23094688221718543</v>
      </c>
      <c r="G15" s="4">
        <v>0.71504291573379264</v>
      </c>
      <c r="H15" s="4">
        <v>0.65781110022866418</v>
      </c>
      <c r="J15" t="s">
        <v>190</v>
      </c>
      <c r="K15" s="16">
        <v>0.1</v>
      </c>
      <c r="L15" t="s">
        <v>191</v>
      </c>
    </row>
    <row r="16" spans="1:12">
      <c r="A16">
        <v>13</v>
      </c>
      <c r="B16" t="s">
        <v>153</v>
      </c>
      <c r="C16" t="s">
        <v>11</v>
      </c>
      <c r="D16" s="2">
        <v>434889.87999985262</v>
      </c>
      <c r="E16" s="2">
        <v>116048</v>
      </c>
      <c r="F16" s="4">
        <v>0.26684456304211845</v>
      </c>
      <c r="G16" s="4">
        <v>0.74395351902041562</v>
      </c>
      <c r="H16" s="4">
        <v>0.68791859454951498</v>
      </c>
      <c r="J16" t="s">
        <v>192</v>
      </c>
      <c r="K16" s="16">
        <v>1</v>
      </c>
    </row>
    <row r="17" spans="1:8">
      <c r="A17">
        <v>14</v>
      </c>
      <c r="B17" t="s">
        <v>157</v>
      </c>
      <c r="C17" t="s">
        <v>16</v>
      </c>
      <c r="D17" s="2">
        <v>376938.41999991646</v>
      </c>
      <c r="E17" s="2">
        <v>107747.99999999999</v>
      </c>
      <c r="F17" s="4">
        <v>0.28585040495480368</v>
      </c>
      <c r="G17" s="4">
        <v>0.77079637441583004</v>
      </c>
      <c r="H17" s="4">
        <v>0.71401410024273038</v>
      </c>
    </row>
    <row r="18" spans="1:8">
      <c r="A18">
        <v>15</v>
      </c>
      <c r="B18" t="s">
        <v>150</v>
      </c>
      <c r="C18" t="s">
        <v>12</v>
      </c>
      <c r="D18" s="2">
        <v>308352.71999981772</v>
      </c>
      <c r="E18" s="2">
        <v>103128.00000000001</v>
      </c>
      <c r="F18" s="4">
        <v>0.33444816053531479</v>
      </c>
      <c r="G18" s="4">
        <v>0.79648826652722238</v>
      </c>
      <c r="H18" s="4">
        <v>0.73536140721206378</v>
      </c>
    </row>
    <row r="19" spans="1:8">
      <c r="A19">
        <v>16</v>
      </c>
      <c r="B19" t="s">
        <v>193</v>
      </c>
      <c r="C19" t="s">
        <v>24</v>
      </c>
      <c r="D19" s="2">
        <v>335703.95999987866</v>
      </c>
      <c r="E19" s="2">
        <v>100812</v>
      </c>
      <c r="F19" s="4">
        <v>0.30030030030040883</v>
      </c>
      <c r="G19" s="4">
        <v>0.8216031822390919</v>
      </c>
      <c r="H19" s="4">
        <v>0.75860224479878091</v>
      </c>
    </row>
    <row r="20" spans="1:8">
      <c r="A20">
        <v>17</v>
      </c>
      <c r="B20" t="s">
        <v>194</v>
      </c>
      <c r="C20" t="s">
        <v>20</v>
      </c>
      <c r="D20" s="2">
        <v>130409.46000002784</v>
      </c>
      <c r="E20" s="2">
        <v>91378</v>
      </c>
      <c r="F20" s="4">
        <v>0.70070070070055113</v>
      </c>
      <c r="G20" s="4">
        <v>0.84436784089003847</v>
      </c>
      <c r="H20" s="4">
        <v>0.76763051208413913</v>
      </c>
    </row>
    <row r="21" spans="1:8">
      <c r="A21">
        <v>18</v>
      </c>
      <c r="B21" t="s">
        <v>151</v>
      </c>
      <c r="C21" t="s">
        <v>20</v>
      </c>
      <c r="D21" s="2">
        <v>912983.27999966987</v>
      </c>
      <c r="E21" s="2">
        <v>91344</v>
      </c>
      <c r="F21" s="4">
        <v>0.10005002501254243</v>
      </c>
      <c r="G21" s="4">
        <v>0.86712402924841847</v>
      </c>
      <c r="H21" s="4">
        <v>0.83083648716369518</v>
      </c>
    </row>
    <row r="22" spans="1:8">
      <c r="A22">
        <v>19</v>
      </c>
      <c r="B22" t="s">
        <v>195</v>
      </c>
      <c r="C22" t="s">
        <v>11</v>
      </c>
      <c r="D22" s="2">
        <v>109705.12000000881</v>
      </c>
      <c r="E22" s="2">
        <v>60367.999999999993</v>
      </c>
      <c r="F22" s="4">
        <v>0.55027513756874014</v>
      </c>
      <c r="G22" s="4">
        <v>0.8821632828263074</v>
      </c>
      <c r="H22" s="4">
        <v>0.8384313897568979</v>
      </c>
    </row>
    <row r="23" spans="1:8">
      <c r="A23">
        <v>20</v>
      </c>
      <c r="B23" t="s">
        <v>154</v>
      </c>
      <c r="C23" t="s">
        <v>24</v>
      </c>
      <c r="D23" s="2">
        <v>541629.51999972761</v>
      </c>
      <c r="E23" s="2">
        <v>60248</v>
      </c>
      <c r="F23" s="4">
        <v>0.11123470522808709</v>
      </c>
      <c r="G23" s="4">
        <v>0.89717264125396201</v>
      </c>
      <c r="H23" s="4">
        <v>0.87592848602734341</v>
      </c>
    </row>
    <row r="24" spans="1:8">
      <c r="A24">
        <v>21</v>
      </c>
      <c r="B24" t="s">
        <v>155</v>
      </c>
      <c r="C24" t="s">
        <v>16</v>
      </c>
      <c r="D24" s="2">
        <v>305356.5099999588</v>
      </c>
      <c r="E24" s="2">
        <v>58745</v>
      </c>
      <c r="F24" s="4">
        <v>0.19238168526358887</v>
      </c>
      <c r="G24" s="4">
        <v>0.91180756292493148</v>
      </c>
      <c r="H24" s="4">
        <v>0.89706836491038777</v>
      </c>
    </row>
    <row r="25" spans="1:8">
      <c r="A25">
        <v>22</v>
      </c>
      <c r="B25" t="s">
        <v>196</v>
      </c>
      <c r="C25" t="s">
        <v>11</v>
      </c>
      <c r="D25" s="2">
        <v>135727.41000003534</v>
      </c>
      <c r="E25" s="2">
        <v>45318</v>
      </c>
      <c r="F25" s="4">
        <v>0.33388981636051407</v>
      </c>
      <c r="G25" s="4">
        <v>0.92309746641093027</v>
      </c>
      <c r="H25" s="4">
        <v>0.90646479470489394</v>
      </c>
    </row>
    <row r="26" spans="1:8">
      <c r="A26">
        <v>23</v>
      </c>
      <c r="B26" t="s">
        <v>197</v>
      </c>
      <c r="C26" t="s">
        <v>11</v>
      </c>
      <c r="D26" s="2">
        <v>85963.950000005891</v>
      </c>
      <c r="E26" s="2">
        <v>43025</v>
      </c>
      <c r="F26" s="4">
        <v>0.50050050050046624</v>
      </c>
      <c r="G26" s="4">
        <v>0.93381612340120113</v>
      </c>
      <c r="H26" s="4">
        <v>0.91241609239069887</v>
      </c>
    </row>
    <row r="27" spans="1:8">
      <c r="A27">
        <v>24</v>
      </c>
      <c r="B27" t="s">
        <v>198</v>
      </c>
      <c r="C27" t="s">
        <v>24</v>
      </c>
      <c r="D27" s="2">
        <v>66148.5299999985</v>
      </c>
      <c r="E27" s="2">
        <v>42351.999999999993</v>
      </c>
      <c r="F27" s="4">
        <v>0.64025610244099085</v>
      </c>
      <c r="G27" s="4">
        <v>0.94436711842390775</v>
      </c>
      <c r="H27" s="4">
        <v>0.91699556545479566</v>
      </c>
    </row>
    <row r="28" spans="1:8">
      <c r="A28">
        <v>25</v>
      </c>
      <c r="B28" t="s">
        <v>199</v>
      </c>
      <c r="C28" t="s">
        <v>11</v>
      </c>
      <c r="D28" s="2">
        <v>420213.63999984344</v>
      </c>
      <c r="E28" s="2">
        <v>38236</v>
      </c>
      <c r="F28" s="4">
        <v>9.0991810737067566E-2</v>
      </c>
      <c r="G28" s="4">
        <v>0.95389270979357643</v>
      </c>
      <c r="H28" s="4">
        <v>0.94608702138806244</v>
      </c>
    </row>
    <row r="29" spans="1:8">
      <c r="A29">
        <v>26</v>
      </c>
      <c r="B29" t="s">
        <v>200</v>
      </c>
      <c r="C29" t="s">
        <v>12</v>
      </c>
      <c r="D29" s="2">
        <v>45696.420000000588</v>
      </c>
      <c r="E29" s="2">
        <v>29106</v>
      </c>
      <c r="F29" s="4">
        <v>0.63694267515922753</v>
      </c>
      <c r="G29" s="4">
        <v>0.96114377848291577</v>
      </c>
      <c r="H29" s="4">
        <v>0.94925059168230264</v>
      </c>
    </row>
    <row r="30" spans="1:8">
      <c r="A30">
        <v>27</v>
      </c>
      <c r="B30" t="s">
        <v>156</v>
      </c>
      <c r="C30" t="s">
        <v>12</v>
      </c>
      <c r="D30" s="2">
        <v>157387.02000000188</v>
      </c>
      <c r="E30" s="2">
        <v>25192</v>
      </c>
      <c r="F30" s="4">
        <v>0.16006402561024219</v>
      </c>
      <c r="G30" s="4">
        <v>0.96741976702211174</v>
      </c>
      <c r="H30" s="4">
        <v>0.96014651966027087</v>
      </c>
    </row>
    <row r="31" spans="1:8">
      <c r="A31">
        <v>28</v>
      </c>
      <c r="B31" t="s">
        <v>201</v>
      </c>
      <c r="C31" t="s">
        <v>12</v>
      </c>
      <c r="D31" s="2">
        <v>115408.72000004054</v>
      </c>
      <c r="E31" s="2">
        <v>23128</v>
      </c>
      <c r="F31" s="4">
        <v>0.200400801603136</v>
      </c>
      <c r="G31" s="4">
        <v>0.97318155897727698</v>
      </c>
      <c r="H31" s="4">
        <v>0.96813628337236057</v>
      </c>
    </row>
    <row r="32" spans="1:8">
      <c r="A32">
        <v>29</v>
      </c>
      <c r="B32" t="s">
        <v>202</v>
      </c>
      <c r="C32" t="s">
        <v>24</v>
      </c>
      <c r="D32" s="2">
        <v>91363.800000006464</v>
      </c>
      <c r="E32" s="2">
        <v>22860</v>
      </c>
      <c r="F32" s="4">
        <v>0.25020850708922332</v>
      </c>
      <c r="G32" s="4">
        <v>0.97887658509691888</v>
      </c>
      <c r="H32" s="4">
        <v>0.97446141351710547</v>
      </c>
    </row>
    <row r="33" spans="1:8">
      <c r="A33">
        <v>30</v>
      </c>
      <c r="B33" t="s">
        <v>203</v>
      </c>
      <c r="C33" t="s">
        <v>24</v>
      </c>
      <c r="D33" s="2">
        <v>101827.07000000826</v>
      </c>
      <c r="E33" s="2">
        <v>20379</v>
      </c>
      <c r="F33" s="4">
        <v>0.2001334222815048</v>
      </c>
      <c r="G33" s="4">
        <v>0.98395352898546573</v>
      </c>
      <c r="H33" s="4">
        <v>0.98151091747828101</v>
      </c>
    </row>
    <row r="34" spans="1:8">
      <c r="A34">
        <v>31</v>
      </c>
      <c r="B34" t="s">
        <v>204</v>
      </c>
      <c r="C34" t="s">
        <v>20</v>
      </c>
      <c r="D34" s="2">
        <v>67666.149999998437</v>
      </c>
      <c r="E34" s="2">
        <v>20309.999999999996</v>
      </c>
      <c r="F34" s="4">
        <v>0.30015007503752567</v>
      </c>
      <c r="G34" s="4">
        <v>0.98901328316262782</v>
      </c>
      <c r="H34" s="4">
        <v>0.98619545561202526</v>
      </c>
    </row>
    <row r="35" spans="1:8">
      <c r="A35">
        <v>32</v>
      </c>
      <c r="B35" t="s">
        <v>205</v>
      </c>
      <c r="C35" t="s">
        <v>11</v>
      </c>
      <c r="D35" s="2">
        <v>83343.840000003518</v>
      </c>
      <c r="E35" s="2">
        <v>12832</v>
      </c>
      <c r="F35" s="4">
        <v>0.15396458814472022</v>
      </c>
      <c r="G35" s="4">
        <v>0.99221007122768667</v>
      </c>
      <c r="H35" s="4">
        <v>0.99196536267327684</v>
      </c>
    </row>
    <row r="36" spans="1:8">
      <c r="A36">
        <v>33</v>
      </c>
      <c r="B36" t="s">
        <v>206</v>
      </c>
      <c r="C36" t="s">
        <v>20</v>
      </c>
      <c r="D36" s="2">
        <v>49738.709999999133</v>
      </c>
      <c r="E36" s="2">
        <v>11487</v>
      </c>
      <c r="F36" s="4">
        <v>0.23094688221709408</v>
      </c>
      <c r="G36" s="4">
        <v>0.9950717844838689</v>
      </c>
      <c r="H36" s="4">
        <v>0.99540878133561028</v>
      </c>
    </row>
    <row r="37" spans="1:8">
      <c r="A37">
        <v>34</v>
      </c>
      <c r="B37" t="s">
        <v>207</v>
      </c>
      <c r="C37" t="s">
        <v>20</v>
      </c>
      <c r="D37" s="2">
        <v>21652.900000000598</v>
      </c>
      <c r="E37" s="2">
        <v>10840</v>
      </c>
      <c r="F37" s="4">
        <v>0.50062578222777088</v>
      </c>
      <c r="G37" s="4">
        <v>0.99777231305503777</v>
      </c>
      <c r="H37" s="4">
        <v>0.99690781498472658</v>
      </c>
    </row>
    <row r="38" spans="1:8">
      <c r="A38">
        <v>35</v>
      </c>
      <c r="B38" t="s">
        <v>208</v>
      </c>
      <c r="C38" t="s">
        <v>20</v>
      </c>
      <c r="D38" s="2">
        <v>44665.289999999906</v>
      </c>
      <c r="E38" s="2">
        <v>8942</v>
      </c>
      <c r="F38" s="4">
        <v>0.20020020020020063</v>
      </c>
      <c r="G38" s="4">
        <v>1</v>
      </c>
      <c r="H38" s="4">
        <v>0.99999999998800737</v>
      </c>
    </row>
    <row r="39" spans="1:8">
      <c r="D39" s="2"/>
      <c r="E39" s="2"/>
      <c r="F39" s="4"/>
      <c r="G39" s="4"/>
      <c r="H39" s="4"/>
    </row>
    <row r="40" spans="1:8">
      <c r="D40" s="2"/>
      <c r="E40" s="2"/>
      <c r="F40" s="4"/>
      <c r="G40" s="4"/>
      <c r="H40" s="4"/>
    </row>
    <row r="41" spans="1:8">
      <c r="D41" s="2"/>
      <c r="E41" s="2"/>
      <c r="F41" s="4"/>
      <c r="G41" s="4"/>
      <c r="H41" s="4"/>
    </row>
    <row r="42" spans="1:8">
      <c r="D42" s="2"/>
      <c r="E42" s="2"/>
      <c r="F42" s="4"/>
      <c r="G42" s="4"/>
      <c r="H42" s="4"/>
    </row>
    <row r="43" spans="1:8">
      <c r="D43" s="2"/>
      <c r="E43" s="2"/>
      <c r="F43" s="4"/>
      <c r="G43" s="4"/>
      <c r="H43" s="4"/>
    </row>
    <row r="44" spans="1:8">
      <c r="D44" s="2"/>
      <c r="E44" s="2"/>
      <c r="F44" s="4"/>
      <c r="G44" s="4"/>
      <c r="H44" s="4"/>
    </row>
    <row r="45" spans="1:8">
      <c r="D45" s="2"/>
      <c r="E45" s="2"/>
      <c r="F45" s="4"/>
      <c r="G45" s="4"/>
      <c r="H45" s="4"/>
    </row>
    <row r="46" spans="1:8">
      <c r="D46" s="2"/>
      <c r="E46" s="2"/>
      <c r="F46" s="4"/>
      <c r="G46" s="4"/>
      <c r="H46" s="4"/>
    </row>
    <row r="47" spans="1:8">
      <c r="D47" s="2"/>
      <c r="E47" s="2"/>
      <c r="F47" s="4"/>
      <c r="G47" s="4"/>
      <c r="H47" s="4"/>
    </row>
    <row r="48" spans="1:8">
      <c r="D48" s="2"/>
      <c r="E48" s="2"/>
      <c r="F48" s="4"/>
      <c r="G48" s="4"/>
      <c r="H48" s="4"/>
    </row>
    <row r="49" spans="4:8">
      <c r="D49" s="2"/>
      <c r="E49" s="2"/>
      <c r="F49" s="4"/>
      <c r="G49" s="4"/>
      <c r="H49" s="4"/>
    </row>
    <row r="50" spans="4:8">
      <c r="D50" s="2"/>
      <c r="E50" s="2"/>
      <c r="F50" s="4"/>
      <c r="G50" s="4"/>
      <c r="H50" s="4"/>
    </row>
  </sheetData>
  <mergeCells count="1">
    <mergeCell ref="A1:L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0"/>
  <sheetViews>
    <sheetView topLeftCell="A107" workbookViewId="0"/>
  </sheetViews>
  <sheetFormatPr defaultRowHeight="14.25"/>
  <cols>
    <col min="1" max="1" width="25.5" customWidth="1"/>
    <col min="2" max="2" width="19" customWidth="1"/>
    <col min="3" max="3" width="47.625" customWidth="1"/>
    <col min="4" max="4" width="11.875" customWidth="1"/>
    <col min="5" max="5" width="10.375" customWidth="1"/>
    <col min="6" max="6" width="15" customWidth="1"/>
    <col min="7" max="7" width="18.875" customWidth="1"/>
    <col min="8" max="8" width="21.25" customWidth="1"/>
  </cols>
  <sheetData>
    <row r="1" spans="1:7">
      <c r="A1" t="s">
        <v>209</v>
      </c>
    </row>
    <row r="2" spans="1:7" ht="15">
      <c r="A2" s="1" t="s">
        <v>8</v>
      </c>
      <c r="B2" s="1" t="s">
        <v>9</v>
      </c>
      <c r="C2" s="1" t="s">
        <v>10</v>
      </c>
      <c r="D2" s="1" t="s">
        <v>54</v>
      </c>
      <c r="E2" s="1" t="s">
        <v>55</v>
      </c>
      <c r="F2" s="1" t="s">
        <v>6</v>
      </c>
    </row>
    <row r="3" spans="1:7">
      <c r="A3" t="s">
        <v>11</v>
      </c>
      <c r="B3" s="2">
        <v>5093241.0000260454</v>
      </c>
      <c r="C3" s="2">
        <v>1079527</v>
      </c>
      <c r="D3" s="4">
        <v>0.21195286066268601</v>
      </c>
      <c r="E3" s="6">
        <v>267200</v>
      </c>
      <c r="F3" s="6">
        <v>221227</v>
      </c>
    </row>
    <row r="4" spans="1:7">
      <c r="A4" t="s">
        <v>12</v>
      </c>
      <c r="B4" s="2">
        <v>2705364.2600071752</v>
      </c>
      <c r="C4" s="2">
        <v>753354</v>
      </c>
      <c r="D4" s="4">
        <v>0.27846675256883963</v>
      </c>
      <c r="E4" s="6">
        <v>325574</v>
      </c>
      <c r="F4" s="6">
        <v>220673</v>
      </c>
    </row>
    <row r="5" spans="1:7">
      <c r="A5" t="s">
        <v>16</v>
      </c>
      <c r="B5" s="2">
        <v>2246771.2500004987</v>
      </c>
      <c r="C5" s="2">
        <v>1001437</v>
      </c>
      <c r="D5" s="4">
        <v>0.44572272321883133</v>
      </c>
      <c r="E5" s="6">
        <v>134075</v>
      </c>
      <c r="F5" s="6">
        <v>99025</v>
      </c>
    </row>
    <row r="6" spans="1:7">
      <c r="A6" t="s">
        <v>20</v>
      </c>
      <c r="B6" s="2">
        <v>2226836.2700005835</v>
      </c>
      <c r="C6" s="2">
        <v>673993</v>
      </c>
      <c r="D6" s="4">
        <v>0.30266841306649966</v>
      </c>
      <c r="E6" s="6">
        <v>194673</v>
      </c>
      <c r="F6" s="6">
        <v>157006</v>
      </c>
    </row>
    <row r="7" spans="1:7">
      <c r="A7" t="s">
        <v>24</v>
      </c>
      <c r="B7" s="2">
        <v>2172359.5699995877</v>
      </c>
      <c r="C7" s="2">
        <v>505718</v>
      </c>
      <c r="D7" s="4">
        <v>0.23279663596395139</v>
      </c>
      <c r="E7" s="6">
        <v>169043</v>
      </c>
      <c r="F7" s="6">
        <v>131331</v>
      </c>
    </row>
    <row r="8" spans="1:7">
      <c r="B8" s="2"/>
      <c r="C8" s="2"/>
      <c r="D8" s="4"/>
      <c r="E8" s="6"/>
      <c r="F8" s="6"/>
    </row>
    <row r="9" spans="1:7">
      <c r="B9" s="2"/>
      <c r="C9" s="2"/>
      <c r="D9" s="4"/>
      <c r="E9" s="6"/>
      <c r="F9" s="6"/>
    </row>
    <row r="10" spans="1:7">
      <c r="A10" t="s">
        <v>210</v>
      </c>
      <c r="B10" s="2"/>
      <c r="C10" s="2"/>
      <c r="D10" s="4"/>
      <c r="E10" s="6"/>
      <c r="F10" s="6"/>
    </row>
    <row r="11" spans="1:7" ht="15">
      <c r="A11" s="1" t="s">
        <v>34</v>
      </c>
      <c r="B11" s="3" t="s">
        <v>211</v>
      </c>
      <c r="C11" s="3" t="s">
        <v>9</v>
      </c>
      <c r="D11" s="5" t="s">
        <v>10</v>
      </c>
      <c r="E11" s="7" t="s">
        <v>54</v>
      </c>
      <c r="F11" s="7" t="s">
        <v>35</v>
      </c>
      <c r="G11" s="1" t="s">
        <v>36</v>
      </c>
    </row>
    <row r="12" spans="1:7">
      <c r="A12" t="s">
        <v>40</v>
      </c>
      <c r="B12" s="2">
        <v>3</v>
      </c>
      <c r="C12" s="2">
        <v>1289722.579999283</v>
      </c>
      <c r="D12" s="4">
        <v>378049</v>
      </c>
      <c r="E12" s="6">
        <v>0.29312427793596524</v>
      </c>
      <c r="F12" s="6">
        <v>429907.52666642767</v>
      </c>
      <c r="G12">
        <v>126016.33333333333</v>
      </c>
    </row>
    <row r="13" spans="1:7">
      <c r="A13" t="s">
        <v>41</v>
      </c>
      <c r="B13" s="2">
        <v>29</v>
      </c>
      <c r="C13" s="2">
        <v>8219596.2700709589</v>
      </c>
      <c r="D13" s="4">
        <v>2248728</v>
      </c>
      <c r="E13" s="6">
        <v>0.27358132031229154</v>
      </c>
      <c r="F13" s="6">
        <v>283434.35414037789</v>
      </c>
      <c r="G13">
        <v>77542.344827586203</v>
      </c>
    </row>
    <row r="14" spans="1:7">
      <c r="A14" t="s">
        <v>42</v>
      </c>
      <c r="B14" s="2">
        <v>6</v>
      </c>
      <c r="C14" s="2">
        <v>1656113.9799989797</v>
      </c>
      <c r="D14" s="4">
        <v>460388</v>
      </c>
      <c r="E14" s="6">
        <v>0.27799294345687708</v>
      </c>
      <c r="F14" s="6">
        <v>276018.99666649662</v>
      </c>
      <c r="G14">
        <v>76731.333333333328</v>
      </c>
    </row>
    <row r="15" spans="1:7">
      <c r="A15" t="s">
        <v>43</v>
      </c>
      <c r="B15" s="2">
        <v>12</v>
      </c>
      <c r="C15" s="2">
        <v>3279139.5200127503</v>
      </c>
      <c r="D15" s="4">
        <v>926864</v>
      </c>
      <c r="E15" s="6">
        <v>0.28265463983563471</v>
      </c>
      <c r="F15" s="6">
        <v>273261.62666772917</v>
      </c>
      <c r="G15">
        <v>77238.666666666672</v>
      </c>
    </row>
    <row r="16" spans="1:7">
      <c r="B16" s="2"/>
      <c r="C16" s="2"/>
      <c r="D16" s="4"/>
      <c r="E16" s="6"/>
      <c r="F16" s="6"/>
    </row>
    <row r="17" spans="1:6">
      <c r="B17" s="2"/>
      <c r="C17" s="2"/>
      <c r="D17" s="4"/>
      <c r="E17" s="6"/>
      <c r="F17" s="6"/>
    </row>
    <row r="18" spans="1:6">
      <c r="A18" t="s">
        <v>212</v>
      </c>
      <c r="B18" s="2"/>
      <c r="C18" s="2"/>
      <c r="D18" s="4"/>
      <c r="E18" s="6"/>
      <c r="F18" s="6"/>
    </row>
    <row r="19" spans="1:6" ht="15">
      <c r="A19" s="1" t="s">
        <v>53</v>
      </c>
      <c r="B19" s="3" t="s">
        <v>9</v>
      </c>
      <c r="C19" s="3" t="s">
        <v>10</v>
      </c>
      <c r="D19" s="5" t="s">
        <v>54</v>
      </c>
      <c r="E19" s="7" t="s">
        <v>55</v>
      </c>
      <c r="F19" s="7" t="s">
        <v>6</v>
      </c>
    </row>
    <row r="20" spans="1:6">
      <c r="A20" t="s">
        <v>56</v>
      </c>
      <c r="B20" s="2">
        <v>542554.90999979246</v>
      </c>
      <c r="C20" s="2">
        <v>167126</v>
      </c>
      <c r="D20" s="4">
        <v>0.30803518117652634</v>
      </c>
      <c r="E20" s="6">
        <v>38009</v>
      </c>
      <c r="F20" s="6">
        <v>29547</v>
      </c>
    </row>
    <row r="21" spans="1:6">
      <c r="A21" t="s">
        <v>57</v>
      </c>
      <c r="B21" s="2">
        <v>541351.64999980922</v>
      </c>
      <c r="C21" s="2">
        <v>161861</v>
      </c>
      <c r="D21" s="4">
        <v>0.2989941935155403</v>
      </c>
      <c r="E21" s="6">
        <v>36935</v>
      </c>
      <c r="F21" s="6">
        <v>28651</v>
      </c>
    </row>
    <row r="22" spans="1:6">
      <c r="A22" t="s">
        <v>58</v>
      </c>
      <c r="B22" s="2">
        <v>589485.18999977398</v>
      </c>
      <c r="C22" s="2">
        <v>173992</v>
      </c>
      <c r="D22" s="4">
        <v>0.29515923886071965</v>
      </c>
      <c r="E22" s="6">
        <v>39981</v>
      </c>
      <c r="F22" s="6">
        <v>31376</v>
      </c>
    </row>
    <row r="23" spans="1:6">
      <c r="A23" t="s">
        <v>59</v>
      </c>
      <c r="B23" s="2">
        <v>681072.97999971453</v>
      </c>
      <c r="C23" s="2">
        <v>190099</v>
      </c>
      <c r="D23" s="4">
        <v>0.27911693105205798</v>
      </c>
      <c r="E23" s="6">
        <v>47102</v>
      </c>
      <c r="F23" s="6">
        <v>35716</v>
      </c>
    </row>
    <row r="24" spans="1:6">
      <c r="A24" t="s">
        <v>60</v>
      </c>
      <c r="B24" s="2">
        <v>672369.89999970701</v>
      </c>
      <c r="C24" s="2">
        <v>186894</v>
      </c>
      <c r="D24" s="4">
        <v>0.27796306765082945</v>
      </c>
      <c r="E24" s="6">
        <v>46910</v>
      </c>
      <c r="F24" s="6">
        <v>37064</v>
      </c>
    </row>
    <row r="25" spans="1:6">
      <c r="A25" t="s">
        <v>61</v>
      </c>
      <c r="B25" s="2">
        <v>661980.21999971836</v>
      </c>
      <c r="C25" s="2">
        <v>189815</v>
      </c>
      <c r="D25" s="4">
        <v>0.2867381747449807</v>
      </c>
      <c r="E25" s="6">
        <v>47178</v>
      </c>
      <c r="F25" s="6">
        <v>35515</v>
      </c>
    </row>
    <row r="26" spans="1:6">
      <c r="A26" t="s">
        <v>62</v>
      </c>
      <c r="B26" s="2">
        <v>556034.22999975504</v>
      </c>
      <c r="C26" s="2">
        <v>176922</v>
      </c>
      <c r="D26" s="4">
        <v>0.31818544696443946</v>
      </c>
      <c r="E26" s="6">
        <v>46177</v>
      </c>
      <c r="F26" s="6">
        <v>34915</v>
      </c>
    </row>
    <row r="27" spans="1:6">
      <c r="A27" t="s">
        <v>63</v>
      </c>
      <c r="B27" s="2">
        <v>489422.72999980481</v>
      </c>
      <c r="C27" s="2">
        <v>158931</v>
      </c>
      <c r="D27" s="4">
        <v>0.32473154648960295</v>
      </c>
      <c r="E27" s="6">
        <v>39927</v>
      </c>
      <c r="F27" s="6">
        <v>31304</v>
      </c>
    </row>
    <row r="28" spans="1:6">
      <c r="A28" t="s">
        <v>64</v>
      </c>
      <c r="B28" s="2">
        <v>585844.0399997551</v>
      </c>
      <c r="C28" s="2">
        <v>166397</v>
      </c>
      <c r="D28" s="4">
        <v>0.28402951748057309</v>
      </c>
      <c r="E28" s="6">
        <v>42196</v>
      </c>
      <c r="F28" s="6">
        <v>32967</v>
      </c>
    </row>
    <row r="29" spans="1:6">
      <c r="A29" t="s">
        <v>65</v>
      </c>
      <c r="B29" s="2">
        <v>623874.38999972469</v>
      </c>
      <c r="C29" s="2">
        <v>178799</v>
      </c>
      <c r="D29" s="4">
        <v>0.28659454990623817</v>
      </c>
      <c r="E29" s="6">
        <v>47861</v>
      </c>
      <c r="F29" s="6">
        <v>36451</v>
      </c>
    </row>
    <row r="30" spans="1:6">
      <c r="A30" t="s">
        <v>66</v>
      </c>
      <c r="B30" s="2">
        <v>661304.14999970119</v>
      </c>
      <c r="C30" s="2">
        <v>192873</v>
      </c>
      <c r="D30" s="4">
        <v>0.29165551131062334</v>
      </c>
      <c r="E30" s="6">
        <v>51185</v>
      </c>
      <c r="F30" s="6">
        <v>38959</v>
      </c>
    </row>
    <row r="31" spans="1:6">
      <c r="A31" t="s">
        <v>67</v>
      </c>
      <c r="B31" s="2">
        <v>877203.68999955908</v>
      </c>
      <c r="C31" s="2">
        <v>246078</v>
      </c>
      <c r="D31" s="4">
        <v>0.28052549573762475</v>
      </c>
      <c r="E31" s="6">
        <v>66031</v>
      </c>
      <c r="F31" s="6">
        <v>48380</v>
      </c>
    </row>
    <row r="32" spans="1:6">
      <c r="A32" t="s">
        <v>68</v>
      </c>
      <c r="B32" s="2">
        <v>747196.21999964339</v>
      </c>
      <c r="C32" s="2">
        <v>205074</v>
      </c>
      <c r="D32" s="4">
        <v>0.27445802656777074</v>
      </c>
      <c r="E32" s="6">
        <v>56478</v>
      </c>
      <c r="F32" s="6">
        <v>42418</v>
      </c>
    </row>
    <row r="33" spans="1:6">
      <c r="A33" t="s">
        <v>69</v>
      </c>
      <c r="B33" s="2">
        <v>722632.18999966606</v>
      </c>
      <c r="C33" s="2">
        <v>189314</v>
      </c>
      <c r="D33" s="4">
        <v>0.26197836550858256</v>
      </c>
      <c r="E33" s="6">
        <v>54581</v>
      </c>
      <c r="F33" s="6">
        <v>40433</v>
      </c>
    </row>
    <row r="34" spans="1:6">
      <c r="A34" t="s">
        <v>70</v>
      </c>
      <c r="B34" s="2">
        <v>883515.63999953889</v>
      </c>
      <c r="C34" s="2">
        <v>231909</v>
      </c>
      <c r="D34" s="4">
        <v>0.26248431776501552</v>
      </c>
      <c r="E34" s="6">
        <v>69336</v>
      </c>
      <c r="F34" s="6">
        <v>49818</v>
      </c>
    </row>
    <row r="35" spans="1:6">
      <c r="A35" t="s">
        <v>71</v>
      </c>
      <c r="B35" s="2">
        <v>827691.06999958667</v>
      </c>
      <c r="C35" s="2">
        <v>215096</v>
      </c>
      <c r="D35" s="4">
        <v>0.25987473804701966</v>
      </c>
      <c r="E35" s="6">
        <v>65593</v>
      </c>
      <c r="F35" s="6">
        <v>47768</v>
      </c>
    </row>
    <row r="36" spans="1:6">
      <c r="A36" t="s">
        <v>72</v>
      </c>
      <c r="B36" s="2">
        <v>825319.4899995788</v>
      </c>
      <c r="C36" s="2">
        <v>210347</v>
      </c>
      <c r="D36" s="4">
        <v>0.2548673605176916</v>
      </c>
      <c r="E36" s="6">
        <v>63851</v>
      </c>
      <c r="F36" s="6">
        <v>48642</v>
      </c>
    </row>
    <row r="37" spans="1:6">
      <c r="A37" t="s">
        <v>73</v>
      </c>
      <c r="B37" s="2">
        <v>808299.24999957345</v>
      </c>
      <c r="C37" s="2">
        <v>207212</v>
      </c>
      <c r="D37" s="4">
        <v>0.25635555148679073</v>
      </c>
      <c r="E37" s="6">
        <v>64275</v>
      </c>
      <c r="F37" s="6">
        <v>48421</v>
      </c>
    </row>
    <row r="38" spans="1:6">
      <c r="A38" t="s">
        <v>74</v>
      </c>
      <c r="B38" s="2">
        <v>828348.85999957623</v>
      </c>
      <c r="C38" s="2">
        <v>209807</v>
      </c>
      <c r="D38" s="4">
        <v>0.25328338111083698</v>
      </c>
      <c r="E38" s="6">
        <v>63614</v>
      </c>
      <c r="F38" s="6">
        <v>48508</v>
      </c>
    </row>
    <row r="39" spans="1:6">
      <c r="A39" t="s">
        <v>75</v>
      </c>
      <c r="B39" s="2">
        <v>660877.06999968691</v>
      </c>
      <c r="C39" s="2">
        <v>175038</v>
      </c>
      <c r="D39" s="4">
        <v>0.26485712388248384</v>
      </c>
      <c r="E39" s="6">
        <v>51193</v>
      </c>
      <c r="F39" s="6">
        <v>40579</v>
      </c>
    </row>
    <row r="40" spans="1:6">
      <c r="A40" t="s">
        <v>76</v>
      </c>
      <c r="B40" s="2">
        <v>658194.47999967483</v>
      </c>
      <c r="C40" s="2">
        <v>180445</v>
      </c>
      <c r="D40" s="4">
        <v>0.2741514939476386</v>
      </c>
      <c r="E40" s="6">
        <v>52152</v>
      </c>
      <c r="F40" s="6">
        <v>41830</v>
      </c>
    </row>
    <row r="41" spans="1:6">
      <c r="B41" s="2"/>
      <c r="C41" s="2"/>
      <c r="D41" s="4"/>
      <c r="E41" s="6"/>
      <c r="F41" s="6"/>
    </row>
    <row r="42" spans="1:6">
      <c r="B42" s="2"/>
      <c r="C42" s="2"/>
      <c r="D42" s="4"/>
      <c r="E42" s="6"/>
      <c r="F42" s="6"/>
    </row>
    <row r="43" spans="1:6">
      <c r="B43" s="2"/>
      <c r="C43" s="2"/>
      <c r="D43" s="4"/>
      <c r="E43" s="6"/>
      <c r="F43" s="6"/>
    </row>
    <row r="44" spans="1:6">
      <c r="B44" s="2"/>
      <c r="C44" s="2"/>
      <c r="D44" s="4"/>
      <c r="E44" s="6"/>
      <c r="F44" s="6"/>
    </row>
    <row r="45" spans="1:6">
      <c r="A45" t="s">
        <v>213</v>
      </c>
      <c r="B45" s="2"/>
      <c r="C45" s="2"/>
      <c r="D45" s="4"/>
      <c r="E45" s="6"/>
      <c r="F45" s="6"/>
    </row>
    <row r="46" spans="1:6" ht="15">
      <c r="A46" s="1" t="s">
        <v>44</v>
      </c>
      <c r="B46" s="3" t="s">
        <v>9</v>
      </c>
      <c r="C46" s="3" t="s">
        <v>10</v>
      </c>
      <c r="D46" s="5" t="s">
        <v>54</v>
      </c>
      <c r="E46" s="7" t="s">
        <v>55</v>
      </c>
      <c r="F46" s="7" t="s">
        <v>6</v>
      </c>
    </row>
    <row r="47" spans="1:6">
      <c r="A47" t="s">
        <v>45</v>
      </c>
      <c r="B47" s="2">
        <v>1531130.0099990857</v>
      </c>
      <c r="C47" s="2">
        <v>439913</v>
      </c>
      <c r="D47" s="4">
        <v>0.28731263650188837</v>
      </c>
      <c r="E47" s="6">
        <v>113699</v>
      </c>
      <c r="F47" s="6">
        <v>90332</v>
      </c>
    </row>
    <row r="48" spans="1:6">
      <c r="A48" t="s">
        <v>46</v>
      </c>
      <c r="B48" s="2">
        <v>1637492.1899990255</v>
      </c>
      <c r="C48" s="2">
        <v>460857</v>
      </c>
      <c r="D48" s="4">
        <v>0.28144073163504629</v>
      </c>
      <c r="E48" s="6">
        <v>121981</v>
      </c>
      <c r="F48" s="6">
        <v>94904</v>
      </c>
    </row>
    <row r="49" spans="1:8">
      <c r="A49" t="s">
        <v>47</v>
      </c>
      <c r="B49" s="2">
        <v>1732068.589998943</v>
      </c>
      <c r="C49" s="2">
        <v>486266</v>
      </c>
      <c r="D49" s="4">
        <v>0.28074292369697479</v>
      </c>
      <c r="E49" s="6">
        <v>129841</v>
      </c>
      <c r="F49" s="6">
        <v>100361</v>
      </c>
    </row>
    <row r="50" spans="1:8">
      <c r="A50" t="s">
        <v>48</v>
      </c>
      <c r="B50" s="2">
        <v>2183641.7899997924</v>
      </c>
      <c r="C50" s="2">
        <v>609542</v>
      </c>
      <c r="D50" s="4">
        <v>0.27914010566726605</v>
      </c>
      <c r="E50" s="6">
        <v>165121</v>
      </c>
      <c r="F50" s="6">
        <v>125053</v>
      </c>
    </row>
    <row r="51" spans="1:8">
      <c r="A51" t="s">
        <v>49</v>
      </c>
      <c r="B51" s="2">
        <v>2750302.2600064389</v>
      </c>
      <c r="C51" s="2">
        <v>741614</v>
      </c>
      <c r="D51" s="4">
        <v>0.26964818041427335</v>
      </c>
      <c r="E51" s="6">
        <v>211574</v>
      </c>
      <c r="F51" s="6">
        <v>155088</v>
      </c>
    </row>
    <row r="52" spans="1:8">
      <c r="A52" t="s">
        <v>50</v>
      </c>
      <c r="B52" s="2">
        <v>2860193.5100076487</v>
      </c>
      <c r="C52" s="2">
        <v>770739</v>
      </c>
      <c r="D52" s="4">
        <v>0.26947092820930807</v>
      </c>
      <c r="E52" s="6">
        <v>218549</v>
      </c>
      <c r="F52" s="6">
        <v>162164</v>
      </c>
    </row>
    <row r="53" spans="1:8">
      <c r="A53" t="s">
        <v>51</v>
      </c>
      <c r="B53" s="2">
        <v>1749743.999998946</v>
      </c>
      <c r="C53" s="2">
        <v>505098</v>
      </c>
      <c r="D53" s="4">
        <v>0.28866965681854273</v>
      </c>
      <c r="E53" s="6">
        <v>129800</v>
      </c>
      <c r="F53" s="6">
        <v>101360</v>
      </c>
    </row>
    <row r="54" spans="1:8">
      <c r="B54" s="2"/>
      <c r="C54" s="2"/>
      <c r="D54" s="4"/>
      <c r="E54" s="6"/>
      <c r="F54" s="6"/>
    </row>
    <row r="55" spans="1:8">
      <c r="B55" s="2"/>
      <c r="C55" s="2"/>
      <c r="D55" s="4"/>
      <c r="E55" s="6"/>
      <c r="F55" s="6"/>
    </row>
    <row r="56" spans="1:8">
      <c r="B56" s="2"/>
      <c r="C56" s="2"/>
      <c r="D56" s="4"/>
      <c r="E56" s="6"/>
      <c r="F56" s="6"/>
    </row>
    <row r="57" spans="1:8">
      <c r="B57" s="2"/>
      <c r="C57" s="2"/>
      <c r="D57" s="4"/>
      <c r="E57" s="6"/>
      <c r="F57" s="6"/>
    </row>
    <row r="58" spans="1:8">
      <c r="A58" t="s">
        <v>214</v>
      </c>
      <c r="B58" s="2"/>
      <c r="C58" s="2"/>
      <c r="D58" s="4"/>
      <c r="E58" s="6"/>
      <c r="F58" s="6"/>
    </row>
    <row r="59" spans="1:8" ht="15">
      <c r="A59" s="1" t="s">
        <v>78</v>
      </c>
      <c r="B59" s="3" t="s">
        <v>8</v>
      </c>
      <c r="C59" s="3" t="s">
        <v>9</v>
      </c>
      <c r="D59" s="5" t="s">
        <v>10</v>
      </c>
      <c r="E59" s="7" t="s">
        <v>54</v>
      </c>
      <c r="F59" s="7" t="s">
        <v>55</v>
      </c>
      <c r="G59" s="1" t="s">
        <v>147</v>
      </c>
      <c r="H59" s="1" t="s">
        <v>148</v>
      </c>
    </row>
    <row r="60" spans="1:8">
      <c r="A60" t="s">
        <v>79</v>
      </c>
      <c r="B60" s="2" t="s">
        <v>16</v>
      </c>
      <c r="C60" s="2">
        <v>1564476.3199992015</v>
      </c>
      <c r="D60" s="4">
        <v>834944</v>
      </c>
      <c r="E60" s="6">
        <v>0.53368912608432839</v>
      </c>
      <c r="F60" s="6">
        <v>104368</v>
      </c>
      <c r="G60">
        <v>1159</v>
      </c>
      <c r="H60">
        <v>0.23320366395830142</v>
      </c>
    </row>
    <row r="61" spans="1:8">
      <c r="A61" t="s">
        <v>80</v>
      </c>
      <c r="B61" s="2" t="s">
        <v>11</v>
      </c>
      <c r="C61" s="2">
        <v>926748.41999957559</v>
      </c>
      <c r="D61" s="4">
        <v>347748</v>
      </c>
      <c r="E61" s="6">
        <v>0.37523452157615683</v>
      </c>
      <c r="F61" s="6">
        <v>57958</v>
      </c>
      <c r="G61">
        <v>614</v>
      </c>
      <c r="H61">
        <v>0.22247144483936643</v>
      </c>
    </row>
    <row r="62" spans="1:8">
      <c r="A62" t="s">
        <v>81</v>
      </c>
      <c r="B62" s="2" t="s">
        <v>11</v>
      </c>
      <c r="C62" s="2">
        <v>2388882.6300008711</v>
      </c>
      <c r="D62" s="4">
        <v>298685</v>
      </c>
      <c r="E62" s="6">
        <v>0.12503125781440802</v>
      </c>
      <c r="F62" s="6">
        <v>59737</v>
      </c>
      <c r="G62">
        <v>1118</v>
      </c>
      <c r="H62">
        <v>0.39302274971960427</v>
      </c>
    </row>
    <row r="63" spans="1:8">
      <c r="A63" t="s">
        <v>82</v>
      </c>
      <c r="B63" s="2" t="s">
        <v>20</v>
      </c>
      <c r="C63" s="2">
        <v>587397.65999949921</v>
      </c>
      <c r="D63" s="4">
        <v>252102</v>
      </c>
      <c r="E63" s="6">
        <v>0.42918454935658906</v>
      </c>
      <c r="F63" s="6">
        <v>84034</v>
      </c>
      <c r="G63">
        <v>2738</v>
      </c>
      <c r="H63">
        <v>0.6842230525739581</v>
      </c>
    </row>
    <row r="64" spans="1:8">
      <c r="A64" t="s">
        <v>83</v>
      </c>
      <c r="B64" s="2" t="s">
        <v>20</v>
      </c>
      <c r="C64" s="2">
        <v>412322.8199998801</v>
      </c>
      <c r="D64" s="4">
        <v>187590</v>
      </c>
      <c r="E64" s="6">
        <v>0.45495905368530065</v>
      </c>
      <c r="F64" s="6">
        <v>37518</v>
      </c>
      <c r="G64">
        <v>795</v>
      </c>
      <c r="H64">
        <v>0.44498640652486804</v>
      </c>
    </row>
    <row r="65" spans="1:8">
      <c r="A65" t="s">
        <v>84</v>
      </c>
      <c r="B65" s="2" t="s">
        <v>12</v>
      </c>
      <c r="C65" s="2">
        <v>365735.3699997451</v>
      </c>
      <c r="D65" s="4">
        <v>183326</v>
      </c>
      <c r="E65" s="6">
        <v>0.50125313283242956</v>
      </c>
      <c r="F65" s="6">
        <v>91663</v>
      </c>
      <c r="G65">
        <v>1282</v>
      </c>
      <c r="H65">
        <v>0.29370629370629375</v>
      </c>
    </row>
    <row r="66" spans="1:8">
      <c r="A66" t="s">
        <v>85</v>
      </c>
      <c r="B66" s="2" t="s">
        <v>12</v>
      </c>
      <c r="C66" s="2">
        <v>488415.66999985842</v>
      </c>
      <c r="D66" s="4">
        <v>146597.99999999997</v>
      </c>
      <c r="E66" s="6">
        <v>0.30015007503760571</v>
      </c>
      <c r="F66" s="6">
        <v>24433</v>
      </c>
      <c r="G66">
        <v>606</v>
      </c>
      <c r="H66">
        <v>0.5208529447877871</v>
      </c>
    </row>
    <row r="67" spans="1:8">
      <c r="A67" t="s">
        <v>86</v>
      </c>
      <c r="B67" s="2" t="s">
        <v>24</v>
      </c>
      <c r="C67" s="2">
        <v>530594.56999984232</v>
      </c>
      <c r="D67" s="4">
        <v>132714.99999999997</v>
      </c>
      <c r="E67" s="6">
        <v>0.25012506253133993</v>
      </c>
      <c r="F67" s="6">
        <v>26543</v>
      </c>
      <c r="G67">
        <v>1212</v>
      </c>
      <c r="H67">
        <v>0.95889688430094566</v>
      </c>
    </row>
    <row r="68" spans="1:8">
      <c r="A68" t="s">
        <v>90</v>
      </c>
      <c r="B68" s="2" t="s">
        <v>24</v>
      </c>
      <c r="C68" s="2">
        <v>505092.11999983061</v>
      </c>
      <c r="D68" s="4">
        <v>126352</v>
      </c>
      <c r="E68" s="6">
        <v>0.25015634771740725</v>
      </c>
      <c r="F68" s="6">
        <v>31588</v>
      </c>
      <c r="G68">
        <v>776</v>
      </c>
      <c r="H68">
        <v>0.51589211092820064</v>
      </c>
    </row>
    <row r="69" spans="1:8">
      <c r="A69" t="s">
        <v>93</v>
      </c>
      <c r="B69" s="2" t="s">
        <v>12</v>
      </c>
      <c r="C69" s="2">
        <v>255406.31999996575</v>
      </c>
      <c r="D69" s="4">
        <v>121679.99999999999</v>
      </c>
      <c r="E69" s="6">
        <v>0.47641734159129773</v>
      </c>
      <c r="F69" s="6">
        <v>12168</v>
      </c>
      <c r="G69">
        <v>402</v>
      </c>
      <c r="H69">
        <v>0.69378698224852065</v>
      </c>
    </row>
    <row r="70" spans="1:8">
      <c r="B70" s="2"/>
      <c r="C70" s="2"/>
      <c r="D70" s="4"/>
      <c r="E70" s="6"/>
      <c r="F70" s="6"/>
    </row>
    <row r="71" spans="1:8">
      <c r="B71" s="2"/>
      <c r="C71" s="2"/>
      <c r="D71" s="4"/>
      <c r="E71" s="6"/>
      <c r="F71" s="6"/>
    </row>
    <row r="72" spans="1:8">
      <c r="A72" t="s">
        <v>215</v>
      </c>
      <c r="B72" s="2"/>
      <c r="C72" s="2"/>
      <c r="D72" s="4"/>
      <c r="E72" s="6"/>
      <c r="F72" s="6"/>
    </row>
    <row r="73" spans="1:8" ht="15">
      <c r="A73" s="1" t="s">
        <v>216</v>
      </c>
      <c r="B73" s="3" t="s">
        <v>108</v>
      </c>
      <c r="C73" s="3" t="s">
        <v>34</v>
      </c>
      <c r="D73" s="5" t="s">
        <v>9</v>
      </c>
      <c r="E73" s="7" t="s">
        <v>10</v>
      </c>
      <c r="F73" s="7" t="s">
        <v>54</v>
      </c>
      <c r="G73" s="1" t="s">
        <v>55</v>
      </c>
      <c r="H73" s="1" t="s">
        <v>109</v>
      </c>
    </row>
    <row r="74" spans="1:8">
      <c r="A74" t="s">
        <v>111</v>
      </c>
      <c r="B74" s="2" t="s">
        <v>112</v>
      </c>
      <c r="C74" s="2" t="s">
        <v>40</v>
      </c>
      <c r="D74" s="4">
        <v>554553.42999979306</v>
      </c>
      <c r="E74" s="6">
        <v>169856</v>
      </c>
      <c r="F74" s="6">
        <v>0.3062932998179515</v>
      </c>
      <c r="G74">
        <v>42757</v>
      </c>
      <c r="H74">
        <v>19.106719611348989</v>
      </c>
    </row>
    <row r="75" spans="1:8">
      <c r="A75" t="s">
        <v>115</v>
      </c>
      <c r="B75" s="2" t="s">
        <v>116</v>
      </c>
      <c r="C75" s="2" t="s">
        <v>40</v>
      </c>
      <c r="D75" s="4">
        <v>449354.90999985964</v>
      </c>
      <c r="E75" s="6">
        <v>121571</v>
      </c>
      <c r="F75" s="6">
        <v>0.27054561393362314</v>
      </c>
      <c r="G75">
        <v>31609</v>
      </c>
      <c r="H75">
        <v>19.216340660274533</v>
      </c>
    </row>
    <row r="76" spans="1:8">
      <c r="A76" t="s">
        <v>119</v>
      </c>
      <c r="B76" s="2" t="s">
        <v>112</v>
      </c>
      <c r="C76" s="2" t="s">
        <v>41</v>
      </c>
      <c r="D76" s="4">
        <v>433556.20999985136</v>
      </c>
      <c r="E76" s="6">
        <v>111296</v>
      </c>
      <c r="F76" s="6">
        <v>0.25670489185251932</v>
      </c>
      <c r="G76">
        <v>33479</v>
      </c>
      <c r="H76">
        <v>17.709182664808896</v>
      </c>
    </row>
    <row r="77" spans="1:8">
      <c r="A77" t="s">
        <v>122</v>
      </c>
      <c r="B77" s="2" t="s">
        <v>123</v>
      </c>
      <c r="C77" s="2" t="s">
        <v>41</v>
      </c>
      <c r="D77" s="4">
        <v>372998.81999989355</v>
      </c>
      <c r="E77" s="6">
        <v>106783</v>
      </c>
      <c r="F77" s="6">
        <v>0.28628240700608776</v>
      </c>
      <c r="G77">
        <v>28318</v>
      </c>
      <c r="H77">
        <v>17.511681690135848</v>
      </c>
    </row>
    <row r="78" spans="1:8">
      <c r="A78" t="s">
        <v>126</v>
      </c>
      <c r="B78" s="2" t="s">
        <v>121</v>
      </c>
      <c r="C78" s="2" t="s">
        <v>41</v>
      </c>
      <c r="D78" s="4">
        <v>411157.31999987364</v>
      </c>
      <c r="E78" s="6">
        <v>104612</v>
      </c>
      <c r="F78" s="6">
        <v>0.25443302334987528</v>
      </c>
      <c r="G78">
        <v>32668</v>
      </c>
      <c r="H78">
        <v>17.471521692936456</v>
      </c>
    </row>
    <row r="79" spans="1:8">
      <c r="A79" t="s">
        <v>129</v>
      </c>
      <c r="B79" s="2" t="s">
        <v>116</v>
      </c>
      <c r="C79" s="2" t="s">
        <v>41</v>
      </c>
      <c r="D79" s="4">
        <v>348466.63999990991</v>
      </c>
      <c r="E79" s="6">
        <v>102178</v>
      </c>
      <c r="F79" s="6">
        <v>0.29322175574691001</v>
      </c>
      <c r="G79">
        <v>24136</v>
      </c>
      <c r="H79">
        <v>18.59579700090239</v>
      </c>
    </row>
    <row r="80" spans="1:8">
      <c r="A80" t="s">
        <v>132</v>
      </c>
      <c r="B80" s="2" t="s">
        <v>133</v>
      </c>
      <c r="C80" s="2" t="s">
        <v>43</v>
      </c>
      <c r="D80" s="4">
        <v>344846.6399999276</v>
      </c>
      <c r="E80" s="6">
        <v>98825</v>
      </c>
      <c r="F80" s="6">
        <v>0.28657666491986333</v>
      </c>
      <c r="G80">
        <v>23236</v>
      </c>
      <c r="H80">
        <v>20.832878632267722</v>
      </c>
    </row>
    <row r="81" spans="1:8">
      <c r="A81" t="s">
        <v>136</v>
      </c>
      <c r="B81" s="2" t="s">
        <v>137</v>
      </c>
      <c r="C81" s="2" t="s">
        <v>43</v>
      </c>
      <c r="D81" s="4">
        <v>294019.41999993927</v>
      </c>
      <c r="E81" s="6">
        <v>97206</v>
      </c>
      <c r="F81" s="6">
        <v>0.33061081475509363</v>
      </c>
      <c r="G81">
        <v>22858</v>
      </c>
      <c r="H81">
        <v>17.434737903222207</v>
      </c>
    </row>
    <row r="82" spans="1:8">
      <c r="A82" t="s">
        <v>140</v>
      </c>
      <c r="B82" s="2" t="s">
        <v>141</v>
      </c>
      <c r="C82" s="2" t="s">
        <v>41</v>
      </c>
      <c r="D82" s="4">
        <v>330408.89999991638</v>
      </c>
      <c r="E82" s="6">
        <v>94252</v>
      </c>
      <c r="F82" s="6">
        <v>0.28525865980009574</v>
      </c>
      <c r="G82">
        <v>24010</v>
      </c>
      <c r="H82">
        <v>17.459781230179473</v>
      </c>
    </row>
    <row r="83" spans="1:8">
      <c r="A83" t="s">
        <v>144</v>
      </c>
      <c r="B83" s="2" t="s">
        <v>112</v>
      </c>
      <c r="C83" s="2" t="s">
        <v>42</v>
      </c>
      <c r="D83" s="4">
        <v>337424.65999991749</v>
      </c>
      <c r="E83" s="6">
        <v>94021</v>
      </c>
      <c r="F83" s="6">
        <v>0.27864294210157309</v>
      </c>
      <c r="G83">
        <v>26634</v>
      </c>
      <c r="H83">
        <v>17.258690604056952</v>
      </c>
    </row>
    <row r="84" spans="1:8">
      <c r="B84" s="2"/>
      <c r="C84" s="2"/>
      <c r="D84" s="4"/>
      <c r="E84" s="6"/>
      <c r="F84" s="6"/>
    </row>
    <row r="85" spans="1:8">
      <c r="B85" s="2"/>
      <c r="C85" s="2"/>
      <c r="D85" s="4"/>
      <c r="E85" s="6"/>
      <c r="F85" s="6"/>
    </row>
    <row r="86" spans="1:8">
      <c r="A86" t="s">
        <v>217</v>
      </c>
      <c r="B86" s="2"/>
      <c r="C86" s="2"/>
      <c r="D86" s="4"/>
      <c r="E86" s="6"/>
      <c r="F86" s="6"/>
    </row>
    <row r="87" spans="1:8" ht="15">
      <c r="A87" s="1" t="s">
        <v>216</v>
      </c>
      <c r="B87" s="3" t="s">
        <v>108</v>
      </c>
      <c r="C87" s="3" t="s">
        <v>34</v>
      </c>
      <c r="D87" s="5" t="s">
        <v>9</v>
      </c>
      <c r="E87" s="7" t="s">
        <v>10</v>
      </c>
      <c r="F87" s="7" t="s">
        <v>54</v>
      </c>
      <c r="G87" s="1" t="s">
        <v>55</v>
      </c>
      <c r="H87" s="1" t="s">
        <v>109</v>
      </c>
    </row>
    <row r="88" spans="1:8">
      <c r="A88" t="s">
        <v>113</v>
      </c>
      <c r="B88" s="2" t="s">
        <v>114</v>
      </c>
      <c r="C88" s="2" t="s">
        <v>41</v>
      </c>
      <c r="D88" s="4">
        <v>221587.25999997163</v>
      </c>
      <c r="E88" s="6">
        <v>56811</v>
      </c>
      <c r="F88" s="6">
        <v>0.2563820681748909</v>
      </c>
      <c r="G88">
        <v>17074</v>
      </c>
      <c r="H88">
        <v>16.241828043683327</v>
      </c>
    </row>
    <row r="89" spans="1:8">
      <c r="A89" t="s">
        <v>117</v>
      </c>
      <c r="B89" s="2" t="s">
        <v>118</v>
      </c>
      <c r="C89" s="2" t="s">
        <v>41</v>
      </c>
      <c r="D89" s="4">
        <v>210897.82999997385</v>
      </c>
      <c r="E89" s="6">
        <v>57407</v>
      </c>
      <c r="F89" s="6">
        <v>0.27220289559170485</v>
      </c>
      <c r="G89">
        <v>16217</v>
      </c>
      <c r="H89">
        <v>15.956558220471655</v>
      </c>
    </row>
    <row r="90" spans="1:8">
      <c r="A90" t="s">
        <v>120</v>
      </c>
      <c r="B90" s="2" t="s">
        <v>121</v>
      </c>
      <c r="C90" s="2" t="s">
        <v>43</v>
      </c>
      <c r="D90" s="4">
        <v>222364.35999997993</v>
      </c>
      <c r="E90" s="6">
        <v>58090</v>
      </c>
      <c r="F90" s="6">
        <v>0.26123790700994187</v>
      </c>
      <c r="G90">
        <v>15964</v>
      </c>
      <c r="H90">
        <v>17.404849718220095</v>
      </c>
    </row>
    <row r="91" spans="1:8">
      <c r="A91" t="s">
        <v>124</v>
      </c>
      <c r="B91" s="2" t="s">
        <v>125</v>
      </c>
      <c r="C91" s="2" t="s">
        <v>43</v>
      </c>
      <c r="D91" s="4">
        <v>206055.22999998069</v>
      </c>
      <c r="E91" s="6">
        <v>58091</v>
      </c>
      <c r="F91" s="6">
        <v>0.28191956108081045</v>
      </c>
      <c r="G91">
        <v>16277</v>
      </c>
      <c r="H91">
        <v>16.091778992579513</v>
      </c>
    </row>
    <row r="92" spans="1:8">
      <c r="A92" t="s">
        <v>127</v>
      </c>
      <c r="B92" s="2" t="s">
        <v>128</v>
      </c>
      <c r="C92" s="2" t="s">
        <v>41</v>
      </c>
      <c r="D92" s="4">
        <v>229983.03999997152</v>
      </c>
      <c r="E92" s="6">
        <v>59160</v>
      </c>
      <c r="F92" s="6">
        <v>0.25723635968985942</v>
      </c>
      <c r="G92">
        <v>17196</v>
      </c>
      <c r="H92">
        <v>17.034518924522001</v>
      </c>
    </row>
    <row r="93" spans="1:8">
      <c r="A93" t="s">
        <v>130</v>
      </c>
      <c r="B93" s="2" t="s">
        <v>131</v>
      </c>
      <c r="C93" s="2" t="s">
        <v>41</v>
      </c>
      <c r="D93" s="4">
        <v>242154.35999996643</v>
      </c>
      <c r="E93" s="6">
        <v>59618</v>
      </c>
      <c r="F93" s="6">
        <v>0.24619833398832161</v>
      </c>
      <c r="G93">
        <v>18564</v>
      </c>
      <c r="H93">
        <v>17.350029375937982</v>
      </c>
    </row>
    <row r="94" spans="1:8">
      <c r="A94" t="s">
        <v>134</v>
      </c>
      <c r="B94" s="2" t="s">
        <v>135</v>
      </c>
      <c r="C94" s="2" t="s">
        <v>41</v>
      </c>
      <c r="D94" s="4">
        <v>222318.77999997366</v>
      </c>
      <c r="E94" s="6">
        <v>62673</v>
      </c>
      <c r="F94" s="6">
        <v>0.28190600902005414</v>
      </c>
      <c r="G94">
        <v>17422</v>
      </c>
      <c r="H94">
        <v>15.75611481218807</v>
      </c>
    </row>
    <row r="95" spans="1:8">
      <c r="A95" t="s">
        <v>138</v>
      </c>
      <c r="B95" s="2" t="s">
        <v>139</v>
      </c>
      <c r="C95" s="2" t="s">
        <v>41</v>
      </c>
      <c r="D95" s="4">
        <v>251160.90999996811</v>
      </c>
      <c r="E95" s="6">
        <v>63959</v>
      </c>
      <c r="F95" s="6">
        <v>0.25465348090993983</v>
      </c>
      <c r="G95">
        <v>19909</v>
      </c>
      <c r="H95">
        <v>17.20987460600028</v>
      </c>
    </row>
    <row r="96" spans="1:8">
      <c r="A96" t="s">
        <v>142</v>
      </c>
      <c r="B96" s="2" t="s">
        <v>143</v>
      </c>
      <c r="C96" s="2" t="s">
        <v>41</v>
      </c>
      <c r="D96" s="4">
        <v>237676.14999996749</v>
      </c>
      <c r="E96" s="6">
        <v>63989</v>
      </c>
      <c r="F96" s="6">
        <v>0.26922768649697815</v>
      </c>
      <c r="G96">
        <v>19185</v>
      </c>
      <c r="H96">
        <v>15.877890974678836</v>
      </c>
    </row>
    <row r="97" spans="1:8">
      <c r="A97" t="s">
        <v>145</v>
      </c>
      <c r="B97" s="2" t="s">
        <v>146</v>
      </c>
      <c r="C97" s="2" t="s">
        <v>41</v>
      </c>
      <c r="D97" s="4">
        <v>232097.71999997032</v>
      </c>
      <c r="E97" s="6">
        <v>64399</v>
      </c>
      <c r="F97" s="6">
        <v>0.27746502636910109</v>
      </c>
      <c r="G97">
        <v>18328</v>
      </c>
      <c r="H97">
        <v>15.603208067224895</v>
      </c>
    </row>
    <row r="98" spans="1:8">
      <c r="B98" s="2"/>
      <c r="C98" s="2"/>
      <c r="D98" s="4"/>
      <c r="E98" s="6"/>
      <c r="F98" s="6"/>
    </row>
    <row r="99" spans="1:8">
      <c r="B99" s="2"/>
      <c r="C99" s="2"/>
      <c r="D99" s="4"/>
      <c r="E99" s="6"/>
      <c r="F99" s="6"/>
    </row>
    <row r="100" spans="1:8">
      <c r="A100" t="s">
        <v>218</v>
      </c>
      <c r="B100" s="2"/>
      <c r="C100" s="2"/>
      <c r="D100" s="4"/>
      <c r="E100" s="6"/>
      <c r="F100" s="6"/>
    </row>
    <row r="101" spans="1:8" ht="30">
      <c r="A101" s="1" t="s">
        <v>160</v>
      </c>
      <c r="B101" s="3" t="s">
        <v>78</v>
      </c>
      <c r="C101" s="3" t="s">
        <v>8</v>
      </c>
      <c r="D101" s="5" t="s">
        <v>9</v>
      </c>
      <c r="E101" s="7" t="s">
        <v>10</v>
      </c>
      <c r="F101" s="7" t="s">
        <v>54</v>
      </c>
      <c r="G101" s="1" t="s">
        <v>161</v>
      </c>
      <c r="H101" s="1" t="s">
        <v>162</v>
      </c>
    </row>
    <row r="102" spans="1:8">
      <c r="A102">
        <v>1</v>
      </c>
      <c r="B102" s="2" t="s">
        <v>79</v>
      </c>
      <c r="C102" s="2" t="s">
        <v>16</v>
      </c>
      <c r="D102" s="4">
        <v>1564476.3199992015</v>
      </c>
      <c r="E102" s="6">
        <v>834944</v>
      </c>
      <c r="F102" s="6">
        <v>0.53368912608432839</v>
      </c>
      <c r="G102">
        <v>0.2080064693105107</v>
      </c>
      <c r="H102">
        <v>0.1083089399999317</v>
      </c>
    </row>
    <row r="103" spans="1:8">
      <c r="A103">
        <v>2</v>
      </c>
      <c r="B103" s="2" t="s">
        <v>80</v>
      </c>
      <c r="C103" s="2" t="s">
        <v>11</v>
      </c>
      <c r="D103" s="4">
        <v>926748.41999957559</v>
      </c>
      <c r="E103" s="6">
        <v>347748</v>
      </c>
      <c r="F103" s="6">
        <v>0.37523452157615683</v>
      </c>
      <c r="G103">
        <v>0.29463962517460635</v>
      </c>
      <c r="H103">
        <v>0.17246787787175374</v>
      </c>
    </row>
    <row r="104" spans="1:8">
      <c r="A104">
        <v>3</v>
      </c>
      <c r="B104" s="2" t="s">
        <v>81</v>
      </c>
      <c r="C104" s="2" t="s">
        <v>11</v>
      </c>
      <c r="D104" s="4">
        <v>2388882.6300008711</v>
      </c>
      <c r="E104" s="6">
        <v>298685</v>
      </c>
      <c r="F104" s="6">
        <v>0.12503125781440802</v>
      </c>
      <c r="G104">
        <v>0.36904989973913987</v>
      </c>
      <c r="H104">
        <v>0.33785059548282981</v>
      </c>
    </row>
    <row r="105" spans="1:8">
      <c r="A105">
        <v>4</v>
      </c>
      <c r="B105" s="2" t="s">
        <v>82</v>
      </c>
      <c r="C105" s="2" t="s">
        <v>20</v>
      </c>
      <c r="D105" s="4">
        <v>587397.65999949921</v>
      </c>
      <c r="E105" s="6">
        <v>252102</v>
      </c>
      <c r="F105" s="6">
        <v>0.42918454935658906</v>
      </c>
      <c r="G105">
        <v>0.43185512610895438</v>
      </c>
      <c r="H105">
        <v>0.37851622723430206</v>
      </c>
    </row>
    <row r="106" spans="1:8">
      <c r="A106">
        <v>5</v>
      </c>
      <c r="B106" s="2" t="s">
        <v>83</v>
      </c>
      <c r="C106" s="2" t="s">
        <v>20</v>
      </c>
      <c r="D106" s="4">
        <v>412322.8199998801</v>
      </c>
      <c r="E106" s="6">
        <v>187590</v>
      </c>
      <c r="F106" s="6">
        <v>0.45495905368530065</v>
      </c>
      <c r="G106">
        <v>0.47858871971278732</v>
      </c>
      <c r="H106">
        <v>0.40706140046644945</v>
      </c>
    </row>
    <row r="107" spans="1:8">
      <c r="A107">
        <v>6</v>
      </c>
      <c r="B107" s="2" t="s">
        <v>84</v>
      </c>
      <c r="C107" s="2" t="s">
        <v>12</v>
      </c>
      <c r="D107" s="4">
        <v>365735.3699997451</v>
      </c>
      <c r="E107" s="6">
        <v>183326</v>
      </c>
      <c r="F107" s="6">
        <v>0.50125313283242956</v>
      </c>
      <c r="G107">
        <v>0.52426003897829343</v>
      </c>
      <c r="H107">
        <v>0.43238131725827117</v>
      </c>
    </row>
    <row r="108" spans="1:8">
      <c r="A108">
        <v>7</v>
      </c>
      <c r="B108" s="2" t="s">
        <v>85</v>
      </c>
      <c r="C108" s="2" t="s">
        <v>12</v>
      </c>
      <c r="D108" s="4">
        <v>488415.66999985842</v>
      </c>
      <c r="E108" s="6">
        <v>146597.99999999997</v>
      </c>
      <c r="F108" s="6">
        <v>0.30015007503760571</v>
      </c>
      <c r="G108">
        <v>0.56078144926207563</v>
      </c>
      <c r="H108">
        <v>0.46619441038138604</v>
      </c>
    </row>
    <row r="109" spans="1:8">
      <c r="A109">
        <v>8</v>
      </c>
      <c r="B109" s="2" t="s">
        <v>86</v>
      </c>
      <c r="C109" s="2" t="s">
        <v>24</v>
      </c>
      <c r="D109" s="4">
        <v>530594.56999984232</v>
      </c>
      <c r="E109" s="6">
        <v>132714.99999999997</v>
      </c>
      <c r="F109" s="6">
        <v>0.25012506253133993</v>
      </c>
      <c r="G109">
        <v>0.59384423978999656</v>
      </c>
      <c r="H109">
        <v>0.50292755533971423</v>
      </c>
    </row>
    <row r="110" spans="1:8">
      <c r="A110">
        <v>9</v>
      </c>
      <c r="B110" s="2" t="s">
        <v>90</v>
      </c>
      <c r="C110" s="2" t="s">
        <v>24</v>
      </c>
      <c r="D110" s="4">
        <v>505092.11999983061</v>
      </c>
      <c r="E110" s="6">
        <v>126352</v>
      </c>
      <c r="F110" s="6">
        <v>0.25015634771740725</v>
      </c>
      <c r="G110">
        <v>0.62532183997674162</v>
      </c>
      <c r="H110">
        <v>0.53789516170113738</v>
      </c>
    </row>
    <row r="111" spans="1:8">
      <c r="A111">
        <v>10</v>
      </c>
      <c r="B111" s="2" t="s">
        <v>93</v>
      </c>
      <c r="C111" s="2" t="s">
        <v>12</v>
      </c>
      <c r="D111" s="4">
        <v>255406.31999996575</v>
      </c>
      <c r="E111" s="6">
        <v>121679.99999999999</v>
      </c>
      <c r="F111" s="6">
        <v>0.47641734159129773</v>
      </c>
      <c r="G111">
        <v>0.65563552231436295</v>
      </c>
      <c r="H111">
        <v>0.55557698112841625</v>
      </c>
    </row>
    <row r="112" spans="1:8">
      <c r="A112">
        <v>11</v>
      </c>
      <c r="B112" s="2" t="s">
        <v>152</v>
      </c>
      <c r="C112" s="2" t="s">
        <v>12</v>
      </c>
      <c r="D112" s="4">
        <v>968962.01999960642</v>
      </c>
      <c r="E112" s="6">
        <v>121196</v>
      </c>
      <c r="F112" s="6">
        <v>0.12507817385871248</v>
      </c>
      <c r="G112">
        <v>0.68582862754603913</v>
      </c>
      <c r="H112">
        <v>0.62265837312187478</v>
      </c>
    </row>
    <row r="113" spans="1:8">
      <c r="A113">
        <v>12</v>
      </c>
      <c r="B113" s="2" t="s">
        <v>158</v>
      </c>
      <c r="C113" s="2" t="s">
        <v>11</v>
      </c>
      <c r="D113" s="4">
        <v>507766.10999979032</v>
      </c>
      <c r="E113" s="6">
        <v>117267</v>
      </c>
      <c r="F113" s="6">
        <v>0.23094688221718543</v>
      </c>
      <c r="G113">
        <v>0.71504291573379264</v>
      </c>
      <c r="H113">
        <v>0.65781110022866418</v>
      </c>
    </row>
    <row r="114" spans="1:8">
      <c r="A114">
        <v>13</v>
      </c>
      <c r="B114" s="2" t="s">
        <v>153</v>
      </c>
      <c r="C114" s="2" t="s">
        <v>11</v>
      </c>
      <c r="D114" s="4">
        <v>434889.87999985262</v>
      </c>
      <c r="E114" s="6">
        <v>116048</v>
      </c>
      <c r="F114" s="6">
        <v>0.26684456304211845</v>
      </c>
      <c r="G114">
        <v>0.74395351902041562</v>
      </c>
      <c r="H114">
        <v>0.68791859454951498</v>
      </c>
    </row>
    <row r="115" spans="1:8">
      <c r="A115">
        <v>14</v>
      </c>
      <c r="B115" s="2" t="s">
        <v>157</v>
      </c>
      <c r="C115" s="2" t="s">
        <v>16</v>
      </c>
      <c r="D115" s="4">
        <v>376938.41999991646</v>
      </c>
      <c r="E115" s="6">
        <v>107747.99999999999</v>
      </c>
      <c r="F115" s="6">
        <v>0.28585040495480368</v>
      </c>
      <c r="G115">
        <v>0.77079637441583004</v>
      </c>
      <c r="H115">
        <v>0.71401410024273038</v>
      </c>
    </row>
    <row r="116" spans="1:8">
      <c r="A116">
        <v>15</v>
      </c>
      <c r="B116" s="2" t="s">
        <v>150</v>
      </c>
      <c r="C116" s="2" t="s">
        <v>12</v>
      </c>
      <c r="D116" s="4">
        <v>308352.71999981772</v>
      </c>
      <c r="E116" s="6">
        <v>103128.00000000001</v>
      </c>
      <c r="F116" s="6">
        <v>0.33444816053531479</v>
      </c>
      <c r="G116">
        <v>0.79648826652722238</v>
      </c>
      <c r="H116">
        <v>0.73536140721206378</v>
      </c>
    </row>
    <row r="117" spans="1:8">
      <c r="A117">
        <v>16</v>
      </c>
      <c r="B117" s="2" t="s">
        <v>193</v>
      </c>
      <c r="C117" s="2" t="s">
        <v>24</v>
      </c>
      <c r="D117" s="4">
        <v>335703.95999987866</v>
      </c>
      <c r="E117" s="6">
        <v>100812</v>
      </c>
      <c r="F117" s="6">
        <v>0.30030030030040883</v>
      </c>
      <c r="G117">
        <v>0.8216031822390919</v>
      </c>
      <c r="H117">
        <v>0.75860224479878091</v>
      </c>
    </row>
    <row r="118" spans="1:8">
      <c r="A118">
        <v>17</v>
      </c>
      <c r="B118" s="2" t="s">
        <v>194</v>
      </c>
      <c r="C118" s="2" t="s">
        <v>20</v>
      </c>
      <c r="D118" s="4">
        <v>130409.46000002784</v>
      </c>
      <c r="E118" s="6">
        <v>91378</v>
      </c>
      <c r="F118" s="6">
        <v>0.70070070070055113</v>
      </c>
      <c r="G118">
        <v>0.84436784089003847</v>
      </c>
      <c r="H118">
        <v>0.76763051208413913</v>
      </c>
    </row>
    <row r="119" spans="1:8">
      <c r="A119">
        <v>18</v>
      </c>
      <c r="B119" s="2" t="s">
        <v>151</v>
      </c>
      <c r="C119" s="2" t="s">
        <v>20</v>
      </c>
      <c r="D119" s="4">
        <v>912983.27999966987</v>
      </c>
      <c r="E119" s="6">
        <v>91344</v>
      </c>
      <c r="F119" s="6">
        <v>0.10005002501254243</v>
      </c>
      <c r="G119">
        <v>0.86712402924841847</v>
      </c>
      <c r="H119">
        <v>0.83083648716369518</v>
      </c>
    </row>
    <row r="120" spans="1:8">
      <c r="A120">
        <v>19</v>
      </c>
      <c r="B120" s="2" t="s">
        <v>195</v>
      </c>
      <c r="C120" s="2" t="s">
        <v>11</v>
      </c>
      <c r="D120" s="4">
        <v>109705.12000000881</v>
      </c>
      <c r="E120" s="6">
        <v>60367.999999999993</v>
      </c>
      <c r="F120" s="6">
        <v>0.55027513756874014</v>
      </c>
      <c r="G120">
        <v>0.8821632828263074</v>
      </c>
      <c r="H120">
        <v>0.8384313897568979</v>
      </c>
    </row>
    <row r="121" spans="1:8">
      <c r="A121">
        <v>20</v>
      </c>
      <c r="B121" s="2" t="s">
        <v>154</v>
      </c>
      <c r="C121" s="2" t="s">
        <v>24</v>
      </c>
      <c r="D121" s="4">
        <v>541629.51999972761</v>
      </c>
      <c r="E121" s="6">
        <v>60248</v>
      </c>
      <c r="F121" s="6">
        <v>0.11123470522808709</v>
      </c>
      <c r="G121">
        <v>0.89717264125396201</v>
      </c>
      <c r="H121">
        <v>0.87592848602734341</v>
      </c>
    </row>
    <row r="122" spans="1:8">
      <c r="A122">
        <v>21</v>
      </c>
      <c r="B122" s="2" t="s">
        <v>155</v>
      </c>
      <c r="C122" s="2" t="s">
        <v>16</v>
      </c>
      <c r="D122" s="4">
        <v>305356.5099999588</v>
      </c>
      <c r="E122" s="6">
        <v>58745</v>
      </c>
      <c r="F122" s="6">
        <v>0.19238168526358887</v>
      </c>
      <c r="G122">
        <v>0.91180756292493148</v>
      </c>
      <c r="H122">
        <v>0.89706836491038777</v>
      </c>
    </row>
    <row r="123" spans="1:8">
      <c r="A123">
        <v>22</v>
      </c>
      <c r="B123" s="2" t="s">
        <v>196</v>
      </c>
      <c r="C123" s="2" t="s">
        <v>11</v>
      </c>
      <c r="D123" s="4">
        <v>135727.41000003534</v>
      </c>
      <c r="E123" s="6">
        <v>45318</v>
      </c>
      <c r="F123" s="6">
        <v>0.33388981636051407</v>
      </c>
      <c r="G123">
        <v>0.92309746641093027</v>
      </c>
      <c r="H123">
        <v>0.90646479470489394</v>
      </c>
    </row>
    <row r="124" spans="1:8">
      <c r="A124">
        <v>23</v>
      </c>
      <c r="B124" s="2" t="s">
        <v>197</v>
      </c>
      <c r="C124" s="2" t="s">
        <v>11</v>
      </c>
      <c r="D124" s="4">
        <v>85963.950000005891</v>
      </c>
      <c r="E124" s="6">
        <v>43025</v>
      </c>
      <c r="F124" s="6">
        <v>0.50050050050046624</v>
      </c>
      <c r="G124">
        <v>0.93381612340120113</v>
      </c>
      <c r="H124">
        <v>0.91241609239069887</v>
      </c>
    </row>
    <row r="125" spans="1:8">
      <c r="A125">
        <v>24</v>
      </c>
      <c r="B125" s="2" t="s">
        <v>198</v>
      </c>
      <c r="C125" s="2" t="s">
        <v>24</v>
      </c>
      <c r="D125" s="4">
        <v>66148.5299999985</v>
      </c>
      <c r="E125" s="6">
        <v>42351.999999999993</v>
      </c>
      <c r="F125" s="6">
        <v>0.64025610244099085</v>
      </c>
      <c r="G125">
        <v>0.94436711842390775</v>
      </c>
      <c r="H125">
        <v>0.91699556545479566</v>
      </c>
    </row>
    <row r="126" spans="1:8">
      <c r="A126">
        <v>25</v>
      </c>
      <c r="B126" s="2" t="s">
        <v>199</v>
      </c>
      <c r="C126" s="2" t="s">
        <v>11</v>
      </c>
      <c r="D126" s="4">
        <v>420213.63999984344</v>
      </c>
      <c r="E126" s="6">
        <v>38236</v>
      </c>
      <c r="F126" s="6">
        <v>9.0991810737067566E-2</v>
      </c>
      <c r="G126">
        <v>0.95389270979357643</v>
      </c>
      <c r="H126">
        <v>0.94608702138806244</v>
      </c>
    </row>
    <row r="127" spans="1:8">
      <c r="A127">
        <v>26</v>
      </c>
      <c r="B127" s="2" t="s">
        <v>200</v>
      </c>
      <c r="C127" s="2" t="s">
        <v>12</v>
      </c>
      <c r="D127" s="4">
        <v>45696.420000000588</v>
      </c>
      <c r="E127" s="6">
        <v>29106</v>
      </c>
      <c r="F127" s="6">
        <v>0.63694267515922753</v>
      </c>
      <c r="G127">
        <v>0.96114377848291577</v>
      </c>
      <c r="H127">
        <v>0.94925059168230264</v>
      </c>
    </row>
    <row r="128" spans="1:8">
      <c r="A128">
        <v>27</v>
      </c>
      <c r="B128" s="2" t="s">
        <v>156</v>
      </c>
      <c r="C128" s="2" t="s">
        <v>12</v>
      </c>
      <c r="D128" s="4">
        <v>157387.02000000188</v>
      </c>
      <c r="E128" s="6">
        <v>25192</v>
      </c>
      <c r="F128" s="6">
        <v>0.16006402561024219</v>
      </c>
      <c r="G128">
        <v>0.96741976702211174</v>
      </c>
      <c r="H128">
        <v>0.96014651966027087</v>
      </c>
    </row>
    <row r="129" spans="1:8">
      <c r="A129">
        <v>28</v>
      </c>
      <c r="B129" s="2" t="s">
        <v>201</v>
      </c>
      <c r="C129" s="2" t="s">
        <v>12</v>
      </c>
      <c r="D129" s="4">
        <v>115408.72000004054</v>
      </c>
      <c r="E129" s="6">
        <v>23128</v>
      </c>
      <c r="F129" s="6">
        <v>0.200400801603136</v>
      </c>
      <c r="G129">
        <v>0.97318155897727698</v>
      </c>
      <c r="H129">
        <v>0.96813628337236057</v>
      </c>
    </row>
    <row r="130" spans="1:8">
      <c r="A130">
        <v>29</v>
      </c>
      <c r="B130" s="2" t="s">
        <v>202</v>
      </c>
      <c r="C130" s="2" t="s">
        <v>24</v>
      </c>
      <c r="D130" s="4">
        <v>91363.800000006464</v>
      </c>
      <c r="E130" s="6">
        <v>22860</v>
      </c>
      <c r="F130" s="6">
        <v>0.25020850708922332</v>
      </c>
      <c r="G130">
        <v>0.97887658509691888</v>
      </c>
      <c r="H130">
        <v>0.97446141351710547</v>
      </c>
    </row>
    <row r="131" spans="1:8">
      <c r="A131">
        <v>30</v>
      </c>
      <c r="B131" s="2" t="s">
        <v>203</v>
      </c>
      <c r="C131" s="2" t="s">
        <v>24</v>
      </c>
      <c r="D131" s="4">
        <v>101827.07000000826</v>
      </c>
      <c r="E131" s="6">
        <v>20379</v>
      </c>
      <c r="F131" s="6">
        <v>0.2001334222815048</v>
      </c>
      <c r="G131">
        <v>0.98395352898546573</v>
      </c>
      <c r="H131">
        <v>0.98151091747828101</v>
      </c>
    </row>
    <row r="132" spans="1:8">
      <c r="A132">
        <v>31</v>
      </c>
      <c r="B132" s="2" t="s">
        <v>204</v>
      </c>
      <c r="C132" s="2" t="s">
        <v>20</v>
      </c>
      <c r="D132" s="4">
        <v>67666.149999998437</v>
      </c>
      <c r="E132" s="6">
        <v>20309.999999999996</v>
      </c>
      <c r="F132" s="6">
        <v>0.30015007503752567</v>
      </c>
      <c r="G132">
        <v>0.98901328316262782</v>
      </c>
      <c r="H132">
        <v>0.98619545561202526</v>
      </c>
    </row>
    <row r="133" spans="1:8">
      <c r="A133">
        <v>32</v>
      </c>
      <c r="B133" s="2" t="s">
        <v>205</v>
      </c>
      <c r="C133" s="2" t="s">
        <v>11</v>
      </c>
      <c r="D133" s="4">
        <v>83343.840000003518</v>
      </c>
      <c r="E133" s="6">
        <v>12832</v>
      </c>
      <c r="F133" s="6">
        <v>0.15396458814472022</v>
      </c>
      <c r="G133">
        <v>0.99221007122768667</v>
      </c>
      <c r="H133">
        <v>0.99196536267327684</v>
      </c>
    </row>
    <row r="134" spans="1:8">
      <c r="A134">
        <v>33</v>
      </c>
      <c r="B134" s="2" t="s">
        <v>206</v>
      </c>
      <c r="C134" s="2" t="s">
        <v>20</v>
      </c>
      <c r="D134" s="4">
        <v>49738.709999999133</v>
      </c>
      <c r="E134" s="6">
        <v>11487</v>
      </c>
      <c r="F134" s="6">
        <v>0.23094688221709408</v>
      </c>
      <c r="G134">
        <v>0.9950717844838689</v>
      </c>
      <c r="H134">
        <v>0.99540878133561028</v>
      </c>
    </row>
    <row r="135" spans="1:8">
      <c r="A135">
        <v>34</v>
      </c>
      <c r="B135" s="2" t="s">
        <v>207</v>
      </c>
      <c r="C135" s="2" t="s">
        <v>20</v>
      </c>
      <c r="D135" s="4">
        <v>21652.900000000598</v>
      </c>
      <c r="E135" s="6">
        <v>10840</v>
      </c>
      <c r="F135" s="6">
        <v>0.50062578222777088</v>
      </c>
      <c r="G135">
        <v>0.99777231305503777</v>
      </c>
      <c r="H135">
        <v>0.99690781498472658</v>
      </c>
    </row>
    <row r="136" spans="1:8">
      <c r="A136">
        <v>35</v>
      </c>
      <c r="B136" s="2" t="s">
        <v>208</v>
      </c>
      <c r="C136" s="2" t="s">
        <v>20</v>
      </c>
      <c r="D136" s="4">
        <v>44665.289999999906</v>
      </c>
      <c r="E136" s="6">
        <v>8942</v>
      </c>
      <c r="F136" s="6">
        <v>0.20020020020020063</v>
      </c>
      <c r="G136">
        <v>1</v>
      </c>
      <c r="H136">
        <v>0.99999999998800737</v>
      </c>
    </row>
    <row r="137" spans="1:8">
      <c r="B137" s="2"/>
      <c r="C137" s="2"/>
      <c r="D137" s="4"/>
      <c r="E137" s="6"/>
      <c r="F137" s="6"/>
    </row>
    <row r="138" spans="1:8">
      <c r="B138" s="2"/>
      <c r="C138" s="2"/>
      <c r="D138" s="4"/>
      <c r="E138" s="6"/>
      <c r="F138" s="6"/>
    </row>
    <row r="139" spans="1:8">
      <c r="B139" s="2"/>
      <c r="C139" s="2"/>
      <c r="D139" s="4"/>
      <c r="E139" s="6"/>
      <c r="F139" s="6"/>
    </row>
    <row r="140" spans="1:8">
      <c r="A140" t="s">
        <v>219</v>
      </c>
      <c r="B140" s="2"/>
      <c r="C140" s="2"/>
      <c r="D140" s="4"/>
      <c r="E140" s="6"/>
      <c r="F140" s="6"/>
    </row>
    <row r="141" spans="1:8" ht="15">
      <c r="A141" s="1" t="s">
        <v>87</v>
      </c>
      <c r="B141" s="3" t="s">
        <v>88</v>
      </c>
      <c r="C141" s="3" t="s">
        <v>89</v>
      </c>
      <c r="D141" s="4"/>
      <c r="E141" s="6"/>
      <c r="F141" s="6"/>
    </row>
    <row r="142" spans="1:8">
      <c r="A142" t="s">
        <v>91</v>
      </c>
      <c r="B142" s="2">
        <v>0.65806188655538689</v>
      </c>
      <c r="C142" s="2" t="s">
        <v>92</v>
      </c>
      <c r="D142" s="4"/>
      <c r="E142" s="6"/>
      <c r="F142" s="6"/>
    </row>
    <row r="143" spans="1:8">
      <c r="A143" t="s">
        <v>94</v>
      </c>
      <c r="B143" s="2">
        <v>0.54493595490087698</v>
      </c>
      <c r="C143" s="2" t="s">
        <v>95</v>
      </c>
      <c r="D143" s="4"/>
      <c r="E143" s="6"/>
      <c r="F143" s="6"/>
    </row>
    <row r="144" spans="1:8">
      <c r="A144" t="s">
        <v>96</v>
      </c>
      <c r="B144" s="2">
        <v>0.66298486658196532</v>
      </c>
      <c r="C144" s="2" t="s">
        <v>97</v>
      </c>
      <c r="D144" s="4"/>
      <c r="E144" s="6"/>
      <c r="F144" s="6"/>
    </row>
    <row r="145" spans="1:6">
      <c r="A145" t="s">
        <v>98</v>
      </c>
      <c r="B145" s="2">
        <v>0.56284318241915954</v>
      </c>
      <c r="C145" s="2" t="s">
        <v>99</v>
      </c>
      <c r="D145" s="4"/>
      <c r="E145" s="6"/>
      <c r="F145" s="6"/>
    </row>
    <row r="146" spans="1:6">
      <c r="A146" t="s">
        <v>100</v>
      </c>
      <c r="B146" s="2">
        <v>0.39698008763267811</v>
      </c>
      <c r="C146" s="2" t="s">
        <v>101</v>
      </c>
      <c r="D146" s="4"/>
      <c r="E146" s="6"/>
      <c r="F146" s="6"/>
    </row>
    <row r="147" spans="1:6">
      <c r="A147" t="s">
        <v>102</v>
      </c>
      <c r="B147" s="2">
        <v>7.1420732918770172E-2</v>
      </c>
      <c r="C147" s="2" t="s">
        <v>103</v>
      </c>
      <c r="D147" s="4"/>
      <c r="E147" s="6"/>
      <c r="F147" s="6"/>
    </row>
    <row r="148" spans="1:6">
      <c r="A148" t="s">
        <v>104</v>
      </c>
      <c r="B148" s="2">
        <v>-2.795731035416657E-2</v>
      </c>
      <c r="C148" s="2" t="s">
        <v>105</v>
      </c>
      <c r="D148" s="4"/>
      <c r="E148" s="6"/>
      <c r="F148" s="6"/>
    </row>
    <row r="149" spans="1:6">
      <c r="B149" s="2"/>
      <c r="C149" s="2"/>
      <c r="D149" s="4"/>
      <c r="E149" s="6"/>
      <c r="F149" s="6"/>
    </row>
    <row r="150" spans="1:6">
      <c r="B150" s="2"/>
      <c r="C150" s="2"/>
      <c r="D150" s="4"/>
      <c r="E150" s="6"/>
      <c r="F150" s="6"/>
    </row>
    <row r="151" spans="1:6">
      <c r="B151" s="2"/>
      <c r="C151" s="2"/>
      <c r="D151" s="4"/>
      <c r="E151" s="6"/>
      <c r="F151" s="6"/>
    </row>
    <row r="152" spans="1:6">
      <c r="A152" t="s">
        <v>220</v>
      </c>
      <c r="B152" s="2"/>
      <c r="C152" s="2"/>
      <c r="D152" s="4"/>
      <c r="E152" s="6"/>
      <c r="F152" s="6"/>
    </row>
    <row r="153" spans="1:6" ht="15">
      <c r="A153" s="1" t="s">
        <v>221</v>
      </c>
      <c r="B153" s="3" t="s">
        <v>222</v>
      </c>
      <c r="C153" s="3" t="s">
        <v>223</v>
      </c>
      <c r="D153" s="5" t="s">
        <v>224</v>
      </c>
      <c r="E153" s="6"/>
      <c r="F153" s="6"/>
    </row>
    <row r="154" spans="1:6">
      <c r="A154" t="s">
        <v>9</v>
      </c>
      <c r="B154" s="2">
        <v>5320115.8500358267</v>
      </c>
      <c r="C154" s="2">
        <v>6962074.2700561909</v>
      </c>
      <c r="D154" s="4">
        <v>0.30863207988399483</v>
      </c>
      <c r="E154" s="6"/>
      <c r="F154" s="6"/>
    </row>
    <row r="155" spans="1:6">
      <c r="A155" t="s">
        <v>10</v>
      </c>
      <c r="B155" s="2">
        <v>1572037</v>
      </c>
      <c r="C155" s="2">
        <v>1824242</v>
      </c>
      <c r="D155" s="4">
        <v>0.16043197456548414</v>
      </c>
      <c r="E155" s="6"/>
      <c r="F155" s="6"/>
    </row>
    <row r="156" spans="1:6">
      <c r="A156" t="s">
        <v>55</v>
      </c>
      <c r="B156" s="2">
        <v>384415</v>
      </c>
      <c r="C156" s="2">
        <v>541073</v>
      </c>
      <c r="D156" s="4">
        <v>0.40752311954528309</v>
      </c>
      <c r="E156" s="6"/>
      <c r="F156" s="6"/>
    </row>
    <row r="157" spans="1:6">
      <c r="A157" t="s">
        <v>6</v>
      </c>
      <c r="B157" s="2">
        <v>297055</v>
      </c>
      <c r="C157" s="2">
        <v>408417</v>
      </c>
      <c r="D157" s="4">
        <v>0.37488680547373382</v>
      </c>
      <c r="E157" s="6"/>
      <c r="F157" s="6"/>
    </row>
    <row r="158" spans="1:6">
      <c r="B158" s="2"/>
      <c r="C158" s="2"/>
      <c r="D158" s="4"/>
      <c r="E158" s="6"/>
      <c r="F158" s="6"/>
    </row>
    <row r="159" spans="1:6">
      <c r="B159" s="2"/>
      <c r="C159" s="2"/>
      <c r="D159" s="4"/>
      <c r="E159" s="6"/>
      <c r="F159" s="6"/>
    </row>
    <row r="160" spans="1:6">
      <c r="B160" s="2"/>
      <c r="C160" s="2"/>
      <c r="D160" s="4"/>
      <c r="E160" s="6"/>
      <c r="F160" s="6"/>
    </row>
    <row r="161" spans="2:6">
      <c r="B161" s="2"/>
      <c r="C161" s="2"/>
      <c r="D161" s="4"/>
      <c r="E161" s="6"/>
      <c r="F161" s="6"/>
    </row>
    <row r="162" spans="2:6">
      <c r="B162" s="2"/>
      <c r="C162" s="2"/>
      <c r="D162" s="4"/>
      <c r="E162" s="6"/>
      <c r="F162" s="6"/>
    </row>
    <row r="163" spans="2:6">
      <c r="B163" s="2"/>
      <c r="C163" s="2"/>
      <c r="D163" s="4"/>
      <c r="E163" s="6"/>
      <c r="F163" s="6"/>
    </row>
    <row r="164" spans="2:6">
      <c r="B164" s="2"/>
      <c r="C164" s="2"/>
      <c r="D164" s="4"/>
      <c r="E164" s="6"/>
      <c r="F164" s="6"/>
    </row>
    <row r="165" spans="2:6">
      <c r="B165" s="2"/>
      <c r="C165" s="2"/>
      <c r="D165" s="4"/>
      <c r="E165" s="6"/>
      <c r="F165" s="6"/>
    </row>
    <row r="166" spans="2:6">
      <c r="B166" s="2"/>
      <c r="C166" s="2"/>
      <c r="D166" s="4"/>
      <c r="E166" s="6"/>
      <c r="F166" s="6"/>
    </row>
    <row r="167" spans="2:6">
      <c r="B167" s="2"/>
      <c r="C167" s="2"/>
      <c r="D167" s="4"/>
      <c r="E167" s="6"/>
      <c r="F167" s="6"/>
    </row>
    <row r="168" spans="2:6">
      <c r="B168" s="2"/>
      <c r="C168" s="2"/>
      <c r="D168" s="4"/>
      <c r="E168" s="6"/>
      <c r="F168" s="6"/>
    </row>
    <row r="169" spans="2:6">
      <c r="B169" s="2"/>
      <c r="C169" s="2"/>
      <c r="D169" s="4"/>
      <c r="E169" s="6"/>
      <c r="F169" s="6"/>
    </row>
    <row r="170" spans="2:6">
      <c r="B170" s="2"/>
      <c r="C170" s="2"/>
      <c r="D170" s="4"/>
      <c r="E170" s="6"/>
      <c r="F170" s="6"/>
    </row>
    <row r="171" spans="2:6">
      <c r="B171" s="2"/>
      <c r="C171" s="2"/>
      <c r="D171" s="4"/>
      <c r="E171" s="6"/>
      <c r="F171" s="6"/>
    </row>
    <row r="172" spans="2:6">
      <c r="B172" s="2"/>
      <c r="C172" s="2"/>
      <c r="D172" s="4"/>
      <c r="E172" s="6"/>
      <c r="F172" s="6"/>
    </row>
    <row r="173" spans="2:6">
      <c r="B173" s="2"/>
      <c r="C173" s="2"/>
      <c r="D173" s="4"/>
      <c r="E173" s="6"/>
      <c r="F173" s="6"/>
    </row>
    <row r="174" spans="2:6">
      <c r="B174" s="2"/>
      <c r="C174" s="2"/>
      <c r="D174" s="4"/>
      <c r="E174" s="6"/>
      <c r="F174" s="6"/>
    </row>
    <row r="175" spans="2:6">
      <c r="B175" s="2"/>
      <c r="C175" s="2"/>
      <c r="D175" s="4"/>
      <c r="E175" s="6"/>
      <c r="F175" s="6"/>
    </row>
    <row r="176" spans="2:6">
      <c r="B176" s="2"/>
      <c r="C176" s="2"/>
      <c r="D176" s="4"/>
      <c r="E176" s="6"/>
      <c r="F176" s="6"/>
    </row>
    <row r="177" spans="2:6">
      <c r="B177" s="2"/>
      <c r="C177" s="2"/>
      <c r="D177" s="4"/>
      <c r="E177" s="6"/>
      <c r="F177" s="6"/>
    </row>
    <row r="178" spans="2:6">
      <c r="B178" s="2"/>
      <c r="C178" s="2"/>
      <c r="D178" s="4"/>
      <c r="E178" s="6"/>
      <c r="F178" s="6"/>
    </row>
    <row r="179" spans="2:6">
      <c r="B179" s="2"/>
      <c r="C179" s="2"/>
      <c r="D179" s="4"/>
      <c r="E179" s="6"/>
      <c r="F179" s="6"/>
    </row>
    <row r="180" spans="2:6">
      <c r="B180" s="2"/>
      <c r="C180" s="2"/>
      <c r="D180" s="4"/>
      <c r="E180" s="6"/>
      <c r="F180" s="6"/>
    </row>
    <row r="181" spans="2:6">
      <c r="B181" s="2"/>
      <c r="C181" s="2"/>
      <c r="D181" s="4"/>
      <c r="E181" s="6"/>
      <c r="F181" s="6"/>
    </row>
    <row r="182" spans="2:6">
      <c r="B182" s="2"/>
      <c r="C182" s="2"/>
      <c r="D182" s="4"/>
      <c r="E182" s="6"/>
      <c r="F182" s="6"/>
    </row>
    <row r="183" spans="2:6">
      <c r="B183" s="2"/>
      <c r="C183" s="2"/>
      <c r="D183" s="4"/>
      <c r="E183" s="6"/>
      <c r="F183" s="6"/>
    </row>
    <row r="184" spans="2:6">
      <c r="B184" s="2"/>
      <c r="C184" s="2"/>
      <c r="D184" s="4"/>
      <c r="E184" s="6"/>
      <c r="F184" s="6"/>
    </row>
    <row r="185" spans="2:6">
      <c r="B185" s="2"/>
      <c r="C185" s="2"/>
      <c r="D185" s="4"/>
      <c r="E185" s="6"/>
      <c r="F185" s="6"/>
    </row>
    <row r="186" spans="2:6">
      <c r="B186" s="2"/>
      <c r="C186" s="2"/>
      <c r="D186" s="4"/>
      <c r="E186" s="6"/>
      <c r="F186" s="6"/>
    </row>
    <row r="187" spans="2:6">
      <c r="B187" s="2"/>
      <c r="C187" s="2"/>
      <c r="D187" s="4"/>
      <c r="E187" s="6"/>
      <c r="F187" s="6"/>
    </row>
    <row r="188" spans="2:6">
      <c r="B188" s="2"/>
      <c r="C188" s="2"/>
      <c r="D188" s="4"/>
      <c r="E188" s="6"/>
      <c r="F188" s="6"/>
    </row>
    <row r="189" spans="2:6">
      <c r="B189" s="2"/>
      <c r="C189" s="2"/>
      <c r="D189" s="4"/>
      <c r="E189" s="6"/>
      <c r="F189" s="6"/>
    </row>
    <row r="190" spans="2:6">
      <c r="B190" s="2"/>
      <c r="C190" s="2"/>
      <c r="D190" s="4"/>
      <c r="E190" s="6"/>
      <c r="F190" s="6"/>
    </row>
    <row r="191" spans="2:6">
      <c r="B191" s="2"/>
      <c r="C191" s="2"/>
      <c r="D191" s="4"/>
      <c r="E191" s="6"/>
      <c r="F191" s="6"/>
    </row>
    <row r="192" spans="2:6">
      <c r="B192" s="2"/>
      <c r="C192" s="2"/>
      <c r="D192" s="4"/>
      <c r="E192" s="6"/>
      <c r="F192" s="6"/>
    </row>
    <row r="193" spans="2:6">
      <c r="B193" s="2"/>
      <c r="C193" s="2"/>
      <c r="D193" s="4"/>
      <c r="E193" s="6"/>
      <c r="F193" s="6"/>
    </row>
    <row r="194" spans="2:6">
      <c r="B194" s="2"/>
      <c r="C194" s="2"/>
      <c r="D194" s="4"/>
      <c r="E194" s="6"/>
      <c r="F194" s="6"/>
    </row>
    <row r="195" spans="2:6">
      <c r="B195" s="2"/>
      <c r="C195" s="2"/>
      <c r="D195" s="4"/>
      <c r="E195" s="6"/>
      <c r="F195" s="6"/>
    </row>
    <row r="196" spans="2:6">
      <c r="B196" s="2"/>
      <c r="C196" s="2"/>
      <c r="D196" s="4"/>
      <c r="E196" s="6"/>
      <c r="F196" s="6"/>
    </row>
    <row r="197" spans="2:6">
      <c r="B197" s="2"/>
      <c r="C197" s="2"/>
      <c r="D197" s="4"/>
      <c r="E197" s="6"/>
      <c r="F197" s="6"/>
    </row>
    <row r="198" spans="2:6">
      <c r="B198" s="2"/>
      <c r="C198" s="2"/>
      <c r="D198" s="4"/>
      <c r="E198" s="6"/>
      <c r="F198" s="6"/>
    </row>
    <row r="199" spans="2:6">
      <c r="B199" s="2"/>
      <c r="C199" s="2"/>
      <c r="D199" s="4"/>
      <c r="E199" s="6"/>
      <c r="F199" s="6"/>
    </row>
    <row r="200" spans="2:6">
      <c r="B200" s="2"/>
      <c r="C200" s="2"/>
      <c r="D200" s="4"/>
      <c r="E200" s="6"/>
      <c r="F200" s="6"/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Sales Analysis</vt:lpstr>
      <vt:lpstr>Profitability</vt:lpstr>
      <vt:lpstr>Stores &amp; Inventory</vt:lpstr>
      <vt:lpstr>Marketing Insights</vt:lpstr>
      <vt:lpstr>Data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Mahmoud</dc:creator>
  <cp:lastModifiedBy>Waseem Mahmoud</cp:lastModifiedBy>
  <dcterms:created xsi:type="dcterms:W3CDTF">2026-06-12T15:22:39Z</dcterms:created>
  <dcterms:modified xsi:type="dcterms:W3CDTF">2026-06-12T15:22:39Z</dcterms:modified>
</cp:coreProperties>
</file>